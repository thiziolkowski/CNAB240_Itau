
<file path=[Content_Types].xml><?xml version="1.0" encoding="utf-8"?>
<Types xmlns="http://schemas.openxmlformats.org/package/2006/content-types">
  <Default Extension="bin" ContentType="application/vnd.ms-office.vbaProject"/>
  <Default Extension="jpeg" ContentType="image/jpeg"/>
  <Default Extension="png" ContentType="image/png"/>
  <Default Extension="rels" ContentType="application/vnd.openxmlformats-package.relationships+xml"/>
  <Default Extension="vml" ContentType="application/vnd.openxmlformats-officedocument.vmlDrawing"/>
  <Default Extension="wdp" ContentType="image/vnd.ms-photo"/>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comments3.xml" ContentType="application/vnd.openxmlformats-officedocument.spreadsheetml.comments+xml"/>
  <Override PartName="/xl/threadedComments/threadedComment3.xml" ContentType="application/vnd.ms-excel.threadedcomments+xml"/>
  <Override PartName="/xl/comments4.xml" ContentType="application/vnd.openxmlformats-officedocument.spreadsheetml.comments+xml"/>
  <Override PartName="/xl/threadedComments/threadedComment4.xml" ContentType="application/vnd.ms-excel.threadedcomments+xml"/>
  <Override PartName="/xl/comments5.xml" ContentType="application/vnd.openxmlformats-officedocument.spreadsheetml.comments+xml"/>
  <Override PartName="/xl/threadedComments/threadedComment5.xml" ContentType="application/vnd.ms-excel.threadedcomments+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425" codeName="{E757BCB4-07E6-AE0B-56E0-F0EEF7A6E26C}"/>
  <workbookPr codeName="EstaPastaDeTrabalho" defaultThemeVersion="202300"/>
  <mc:AlternateContent xmlns:mc="http://schemas.openxmlformats.org/markup-compatibility/2006">
    <mc:Choice Requires="x15">
      <x15ac:absPath xmlns:x15ac="http://schemas.microsoft.com/office/spreadsheetml/2010/11/ac" url="C:\Users\Suporte\Desktop\ITAU CNAB240 TED\"/>
    </mc:Choice>
  </mc:AlternateContent>
  <xr:revisionPtr revIDLastSave="0" documentId="13_ncr:1_{2F5D09D9-BA6A-4063-98F1-A678E41FF79E}" xr6:coauthVersionLast="47" xr6:coauthVersionMax="47" xr10:uidLastSave="{00000000-0000-0000-0000-000000000000}"/>
  <bookViews>
    <workbookView xWindow="-120" yWindow="-120" windowWidth="21840" windowHeight="13140" tabRatio="937" xr2:uid="{9C17B8B4-3FA7-40DB-83B5-5B425B102ABC}"/>
  </bookViews>
  <sheets>
    <sheet name="GERAR_ARQUIVO" sheetId="12" r:id="rId1"/>
    <sheet name="TED" sheetId="13" r:id="rId2"/>
    <sheet name="C.C.ITAU" sheetId="16" r:id="rId3"/>
    <sheet name="HEADER_ARQUIVO" sheetId="4" state="hidden" r:id="rId4"/>
    <sheet name="HEADER_LOTE" sheetId="5" state="hidden" r:id="rId5"/>
    <sheet name="REGISTRO_DETALHE" sheetId="8" state="hidden" r:id="rId6"/>
    <sheet name="REGISTRO_TRAILER_LOTE" sheetId="10" state="hidden" r:id="rId7"/>
    <sheet name="REGISTRO_TRAILER_ARQUIVO" sheetId="11" state="hidden" r:id="rId8"/>
  </sheets>
  <definedNames>
    <definedName name="_xlnm._FilterDatabase" localSheetId="2" hidden="1">'C.C.ITAU'!$C$6:$I$106</definedName>
    <definedName name="_xlnm._FilterDatabase" localSheetId="1" hidden="1">TED!$C$6:$I$106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R106" i="16" l="1"/>
  <c r="Q106" i="16"/>
  <c r="P106" i="16"/>
  <c r="O106" i="16"/>
  <c r="R105" i="16"/>
  <c r="Q105" i="16"/>
  <c r="P105" i="16"/>
  <c r="O105" i="16"/>
  <c r="R104" i="16"/>
  <c r="Q104" i="16"/>
  <c r="P104" i="16"/>
  <c r="O104" i="16"/>
  <c r="R103" i="16"/>
  <c r="Q103" i="16"/>
  <c r="P103" i="16"/>
  <c r="O103" i="16"/>
  <c r="R102" i="16"/>
  <c r="Q102" i="16"/>
  <c r="P102" i="16"/>
  <c r="O102" i="16"/>
  <c r="R101" i="16"/>
  <c r="Q101" i="16"/>
  <c r="P101" i="16"/>
  <c r="O101" i="16"/>
  <c r="R100" i="16"/>
  <c r="Q100" i="16"/>
  <c r="P100" i="16"/>
  <c r="O100" i="16"/>
  <c r="R99" i="16"/>
  <c r="Q99" i="16"/>
  <c r="P99" i="16"/>
  <c r="O99" i="16"/>
  <c r="R98" i="16"/>
  <c r="Q98" i="16"/>
  <c r="P98" i="16"/>
  <c r="O98" i="16"/>
  <c r="R97" i="16"/>
  <c r="Q97" i="16"/>
  <c r="P97" i="16"/>
  <c r="O97" i="16"/>
  <c r="R96" i="16"/>
  <c r="Q96" i="16"/>
  <c r="P96" i="16"/>
  <c r="O96" i="16"/>
  <c r="R95" i="16"/>
  <c r="Q95" i="16"/>
  <c r="P95" i="16"/>
  <c r="O95" i="16"/>
  <c r="R94" i="16"/>
  <c r="Q94" i="16"/>
  <c r="P94" i="16"/>
  <c r="O94" i="16"/>
  <c r="R93" i="16"/>
  <c r="Q93" i="16"/>
  <c r="P93" i="16"/>
  <c r="O93" i="16"/>
  <c r="R92" i="16"/>
  <c r="Q92" i="16"/>
  <c r="P92" i="16"/>
  <c r="O92" i="16"/>
  <c r="R91" i="16"/>
  <c r="Q91" i="16"/>
  <c r="P91" i="16"/>
  <c r="O91" i="16"/>
  <c r="R90" i="16"/>
  <c r="Q90" i="16"/>
  <c r="P90" i="16"/>
  <c r="O90" i="16"/>
  <c r="R89" i="16"/>
  <c r="Q89" i="16"/>
  <c r="P89" i="16"/>
  <c r="O89" i="16"/>
  <c r="R88" i="16"/>
  <c r="Q88" i="16"/>
  <c r="P88" i="16"/>
  <c r="O88" i="16"/>
  <c r="R87" i="16"/>
  <c r="Q87" i="16"/>
  <c r="P87" i="16"/>
  <c r="O87" i="16"/>
  <c r="R86" i="16"/>
  <c r="Q86" i="16"/>
  <c r="P86" i="16"/>
  <c r="O86" i="16"/>
  <c r="R85" i="16"/>
  <c r="Q85" i="16"/>
  <c r="P85" i="16"/>
  <c r="O85" i="16"/>
  <c r="R84" i="16"/>
  <c r="Q84" i="16"/>
  <c r="P84" i="16"/>
  <c r="O84" i="16"/>
  <c r="R83" i="16"/>
  <c r="Q83" i="16"/>
  <c r="P83" i="16"/>
  <c r="O83" i="16"/>
  <c r="R82" i="16"/>
  <c r="Q82" i="16"/>
  <c r="P82" i="16"/>
  <c r="O82" i="16"/>
  <c r="R81" i="16"/>
  <c r="Q81" i="16"/>
  <c r="P81" i="16"/>
  <c r="O81" i="16"/>
  <c r="R80" i="16"/>
  <c r="Q80" i="16"/>
  <c r="P80" i="16"/>
  <c r="O80" i="16"/>
  <c r="R79" i="16"/>
  <c r="Q79" i="16"/>
  <c r="P79" i="16"/>
  <c r="O79" i="16"/>
  <c r="R78" i="16"/>
  <c r="Q78" i="16"/>
  <c r="P78" i="16"/>
  <c r="O78" i="16"/>
  <c r="R77" i="16"/>
  <c r="Q77" i="16"/>
  <c r="P77" i="16"/>
  <c r="O77" i="16"/>
  <c r="R76" i="16"/>
  <c r="Q76" i="16"/>
  <c r="P76" i="16"/>
  <c r="O76" i="16"/>
  <c r="R75" i="16"/>
  <c r="Q75" i="16"/>
  <c r="P75" i="16"/>
  <c r="O75" i="16"/>
  <c r="R74" i="16"/>
  <c r="Q74" i="16"/>
  <c r="P74" i="16"/>
  <c r="O74" i="16"/>
  <c r="R73" i="16"/>
  <c r="Q73" i="16"/>
  <c r="P73" i="16"/>
  <c r="O73" i="16"/>
  <c r="R72" i="16"/>
  <c r="Q72" i="16"/>
  <c r="P72" i="16"/>
  <c r="O72" i="16"/>
  <c r="R71" i="16"/>
  <c r="Q71" i="16"/>
  <c r="P71" i="16"/>
  <c r="O71" i="16"/>
  <c r="R70" i="16"/>
  <c r="Q70" i="16"/>
  <c r="P70" i="16"/>
  <c r="O70" i="16"/>
  <c r="R69" i="16"/>
  <c r="Q69" i="16"/>
  <c r="P69" i="16"/>
  <c r="O69" i="16"/>
  <c r="R68" i="16"/>
  <c r="Q68" i="16"/>
  <c r="P68" i="16"/>
  <c r="O68" i="16"/>
  <c r="R67" i="16"/>
  <c r="Q67" i="16"/>
  <c r="P67" i="16"/>
  <c r="O67" i="16"/>
  <c r="R66" i="16"/>
  <c r="Q66" i="16"/>
  <c r="P66" i="16"/>
  <c r="O66" i="16"/>
  <c r="R65" i="16"/>
  <c r="Q65" i="16"/>
  <c r="P65" i="16"/>
  <c r="O65" i="16"/>
  <c r="R64" i="16"/>
  <c r="Q64" i="16"/>
  <c r="P64" i="16"/>
  <c r="O64" i="16"/>
  <c r="R63" i="16"/>
  <c r="Q63" i="16"/>
  <c r="P63" i="16"/>
  <c r="O63" i="16"/>
  <c r="R62" i="16"/>
  <c r="Q62" i="16"/>
  <c r="P62" i="16"/>
  <c r="O62" i="16"/>
  <c r="R61" i="16"/>
  <c r="Q61" i="16"/>
  <c r="P61" i="16"/>
  <c r="O61" i="16"/>
  <c r="R60" i="16"/>
  <c r="Q60" i="16"/>
  <c r="P60" i="16"/>
  <c r="O60" i="16"/>
  <c r="R59" i="16"/>
  <c r="Q59" i="16"/>
  <c r="P59" i="16"/>
  <c r="O59" i="16"/>
  <c r="R58" i="16"/>
  <c r="Q58" i="16"/>
  <c r="P58" i="16"/>
  <c r="O58" i="16"/>
  <c r="R57" i="16"/>
  <c r="Q57" i="16"/>
  <c r="P57" i="16"/>
  <c r="O57" i="16"/>
  <c r="R56" i="16"/>
  <c r="Q56" i="16"/>
  <c r="P56" i="16"/>
  <c r="O56" i="16"/>
  <c r="R55" i="16"/>
  <c r="Q55" i="16"/>
  <c r="P55" i="16"/>
  <c r="O55" i="16"/>
  <c r="R54" i="16"/>
  <c r="Q54" i="16"/>
  <c r="P54" i="16"/>
  <c r="O54" i="16"/>
  <c r="R53" i="16"/>
  <c r="Q53" i="16"/>
  <c r="P53" i="16"/>
  <c r="O53" i="16"/>
  <c r="R52" i="16"/>
  <c r="Q52" i="16"/>
  <c r="P52" i="16"/>
  <c r="O52" i="16"/>
  <c r="R51" i="16"/>
  <c r="Q51" i="16"/>
  <c r="P51" i="16"/>
  <c r="O51" i="16"/>
  <c r="R50" i="16"/>
  <c r="Q50" i="16"/>
  <c r="P50" i="16"/>
  <c r="O50" i="16"/>
  <c r="R49" i="16"/>
  <c r="Q49" i="16"/>
  <c r="P49" i="16"/>
  <c r="O49" i="16"/>
  <c r="R48" i="16"/>
  <c r="Q48" i="16"/>
  <c r="P48" i="16"/>
  <c r="O48" i="16"/>
  <c r="R47" i="16"/>
  <c r="Q47" i="16"/>
  <c r="P47" i="16"/>
  <c r="O47" i="16"/>
  <c r="R46" i="16"/>
  <c r="Q46" i="16"/>
  <c r="P46" i="16"/>
  <c r="O46" i="16"/>
  <c r="R45" i="16"/>
  <c r="Q45" i="16"/>
  <c r="P45" i="16"/>
  <c r="O45" i="16"/>
  <c r="R44" i="16"/>
  <c r="Q44" i="16"/>
  <c r="P44" i="16"/>
  <c r="O44" i="16"/>
  <c r="R43" i="16"/>
  <c r="Q43" i="16"/>
  <c r="P43" i="16"/>
  <c r="O43" i="16"/>
  <c r="R42" i="16"/>
  <c r="Q42" i="16"/>
  <c r="P42" i="16"/>
  <c r="O42" i="16"/>
  <c r="R41" i="16"/>
  <c r="Q41" i="16"/>
  <c r="P41" i="16"/>
  <c r="O41" i="16"/>
  <c r="R40" i="16"/>
  <c r="Q40" i="16"/>
  <c r="P40" i="16"/>
  <c r="O40" i="16"/>
  <c r="R39" i="16"/>
  <c r="Q39" i="16"/>
  <c r="P39" i="16"/>
  <c r="O39" i="16"/>
  <c r="R38" i="16"/>
  <c r="Q38" i="16"/>
  <c r="P38" i="16"/>
  <c r="O38" i="16"/>
  <c r="R37" i="16"/>
  <c r="Q37" i="16"/>
  <c r="P37" i="16"/>
  <c r="O37" i="16"/>
  <c r="R36" i="16"/>
  <c r="Q36" i="16"/>
  <c r="P36" i="16"/>
  <c r="O36" i="16"/>
  <c r="R35" i="16"/>
  <c r="Q35" i="16"/>
  <c r="P35" i="16"/>
  <c r="O35" i="16"/>
  <c r="R34" i="16"/>
  <c r="Q34" i="16"/>
  <c r="P34" i="16"/>
  <c r="O34" i="16"/>
  <c r="R33" i="16"/>
  <c r="Q33" i="16"/>
  <c r="P33" i="16"/>
  <c r="O33" i="16"/>
  <c r="R32" i="16"/>
  <c r="Q32" i="16"/>
  <c r="P32" i="16"/>
  <c r="O32" i="16"/>
  <c r="R31" i="16"/>
  <c r="Q31" i="16"/>
  <c r="P31" i="16"/>
  <c r="O31" i="16"/>
  <c r="R30" i="16"/>
  <c r="Q30" i="16"/>
  <c r="P30" i="16"/>
  <c r="O30" i="16"/>
  <c r="R29" i="16"/>
  <c r="Q29" i="16"/>
  <c r="P29" i="16"/>
  <c r="O29" i="16"/>
  <c r="R28" i="16"/>
  <c r="Q28" i="16"/>
  <c r="P28" i="16"/>
  <c r="O28" i="16"/>
  <c r="R27" i="16"/>
  <c r="Q27" i="16"/>
  <c r="P27" i="16"/>
  <c r="O27" i="16"/>
  <c r="R26" i="16"/>
  <c r="Q26" i="16"/>
  <c r="P26" i="16"/>
  <c r="O26" i="16"/>
  <c r="R25" i="16"/>
  <c r="Q25" i="16"/>
  <c r="P25" i="16"/>
  <c r="O25" i="16"/>
  <c r="R24" i="16"/>
  <c r="Q24" i="16"/>
  <c r="P24" i="16"/>
  <c r="O24" i="16"/>
  <c r="R23" i="16"/>
  <c r="Q23" i="16"/>
  <c r="P23" i="16"/>
  <c r="O23" i="16"/>
  <c r="R22" i="16"/>
  <c r="Q22" i="16"/>
  <c r="P22" i="16"/>
  <c r="O22" i="16"/>
  <c r="R21" i="16"/>
  <c r="Q21" i="16"/>
  <c r="P21" i="16"/>
  <c r="O21" i="16"/>
  <c r="R20" i="16"/>
  <c r="Q20" i="16"/>
  <c r="P20" i="16"/>
  <c r="O20" i="16"/>
  <c r="R19" i="16"/>
  <c r="Q19" i="16"/>
  <c r="P19" i="16"/>
  <c r="O19" i="16"/>
  <c r="R18" i="16"/>
  <c r="Q18" i="16"/>
  <c r="P18" i="16"/>
  <c r="O18" i="16"/>
  <c r="R17" i="16"/>
  <c r="Q17" i="16"/>
  <c r="P17" i="16"/>
  <c r="O17" i="16"/>
  <c r="R16" i="16"/>
  <c r="Q16" i="16"/>
  <c r="P16" i="16"/>
  <c r="O16" i="16"/>
  <c r="R15" i="16"/>
  <c r="Q15" i="16"/>
  <c r="P15" i="16"/>
  <c r="O15" i="16"/>
  <c r="R14" i="16"/>
  <c r="Q14" i="16"/>
  <c r="P14" i="16"/>
  <c r="O14" i="16"/>
  <c r="R13" i="16"/>
  <c r="Q13" i="16"/>
  <c r="P13" i="16"/>
  <c r="O13" i="16"/>
  <c r="R12" i="16"/>
  <c r="Q12" i="16"/>
  <c r="P12" i="16"/>
  <c r="O12" i="16"/>
  <c r="R11" i="16"/>
  <c r="Q11" i="16"/>
  <c r="P11" i="16"/>
  <c r="O11" i="16"/>
  <c r="R10" i="16"/>
  <c r="Q10" i="16"/>
  <c r="P10" i="16"/>
  <c r="O10" i="16"/>
  <c r="R9" i="16"/>
  <c r="Q9" i="16"/>
  <c r="P9" i="16"/>
  <c r="O9" i="16"/>
  <c r="R8" i="16"/>
  <c r="Q8" i="16"/>
  <c r="P8" i="16"/>
  <c r="O8" i="16"/>
  <c r="R7" i="16"/>
  <c r="Q7" i="16"/>
  <c r="P7" i="16"/>
  <c r="P6" i="16" s="1"/>
  <c r="O7" i="16"/>
  <c r="O6" i="16" s="1"/>
  <c r="R106" i="13"/>
  <c r="Q106" i="13"/>
  <c r="P106" i="13"/>
  <c r="O106" i="13"/>
  <c r="R105" i="13"/>
  <c r="Q105" i="13"/>
  <c r="P105" i="13"/>
  <c r="O105" i="13"/>
  <c r="R104" i="13"/>
  <c r="Q104" i="13"/>
  <c r="P104" i="13"/>
  <c r="O104" i="13"/>
  <c r="R103" i="13"/>
  <c r="Q103" i="13"/>
  <c r="P103" i="13"/>
  <c r="O103" i="13"/>
  <c r="R102" i="13"/>
  <c r="Q102" i="13"/>
  <c r="P102" i="13"/>
  <c r="O102" i="13"/>
  <c r="R101" i="13"/>
  <c r="Q101" i="13"/>
  <c r="P101" i="13"/>
  <c r="O101" i="13"/>
  <c r="R100" i="13"/>
  <c r="Q100" i="13"/>
  <c r="P100" i="13"/>
  <c r="O100" i="13"/>
  <c r="R99" i="13"/>
  <c r="Q99" i="13"/>
  <c r="P99" i="13"/>
  <c r="O99" i="13"/>
  <c r="R98" i="13"/>
  <c r="Q98" i="13"/>
  <c r="P98" i="13"/>
  <c r="O98" i="13"/>
  <c r="R97" i="13"/>
  <c r="Q97" i="13"/>
  <c r="P97" i="13"/>
  <c r="O97" i="13"/>
  <c r="R96" i="13"/>
  <c r="Q96" i="13"/>
  <c r="P96" i="13"/>
  <c r="O96" i="13"/>
  <c r="R95" i="13"/>
  <c r="Q95" i="13"/>
  <c r="P95" i="13"/>
  <c r="O95" i="13"/>
  <c r="R94" i="13"/>
  <c r="Q94" i="13"/>
  <c r="P94" i="13"/>
  <c r="O94" i="13"/>
  <c r="R93" i="13"/>
  <c r="Q93" i="13"/>
  <c r="P93" i="13"/>
  <c r="O93" i="13"/>
  <c r="R92" i="13"/>
  <c r="Q92" i="13"/>
  <c r="P92" i="13"/>
  <c r="O92" i="13"/>
  <c r="R91" i="13"/>
  <c r="Q91" i="13"/>
  <c r="P91" i="13"/>
  <c r="O91" i="13"/>
  <c r="R90" i="13"/>
  <c r="Q90" i="13"/>
  <c r="P90" i="13"/>
  <c r="O90" i="13"/>
  <c r="R89" i="13"/>
  <c r="Q89" i="13"/>
  <c r="P89" i="13"/>
  <c r="O89" i="13"/>
  <c r="R88" i="13"/>
  <c r="Q88" i="13"/>
  <c r="P88" i="13"/>
  <c r="O88" i="13"/>
  <c r="R87" i="13"/>
  <c r="Q87" i="13"/>
  <c r="P87" i="13"/>
  <c r="O87" i="13"/>
  <c r="R86" i="13"/>
  <c r="Q86" i="13"/>
  <c r="P86" i="13"/>
  <c r="O86" i="13"/>
  <c r="R85" i="13"/>
  <c r="Q85" i="13"/>
  <c r="P85" i="13"/>
  <c r="O85" i="13"/>
  <c r="R84" i="13"/>
  <c r="Q84" i="13"/>
  <c r="P84" i="13"/>
  <c r="O84" i="13"/>
  <c r="R83" i="13"/>
  <c r="Q83" i="13"/>
  <c r="P83" i="13"/>
  <c r="O83" i="13"/>
  <c r="R82" i="13"/>
  <c r="Q82" i="13"/>
  <c r="P82" i="13"/>
  <c r="O82" i="13"/>
  <c r="R81" i="13"/>
  <c r="Q81" i="13"/>
  <c r="P81" i="13"/>
  <c r="O81" i="13"/>
  <c r="R80" i="13"/>
  <c r="Q80" i="13"/>
  <c r="P80" i="13"/>
  <c r="O80" i="13"/>
  <c r="R79" i="13"/>
  <c r="Q79" i="13"/>
  <c r="P79" i="13"/>
  <c r="O79" i="13"/>
  <c r="R78" i="13"/>
  <c r="Q78" i="13"/>
  <c r="P78" i="13"/>
  <c r="O78" i="13"/>
  <c r="R77" i="13"/>
  <c r="Q77" i="13"/>
  <c r="P77" i="13"/>
  <c r="O77" i="13"/>
  <c r="R76" i="13"/>
  <c r="Q76" i="13"/>
  <c r="P76" i="13"/>
  <c r="O76" i="13"/>
  <c r="R75" i="13"/>
  <c r="Q75" i="13"/>
  <c r="P75" i="13"/>
  <c r="O75" i="13"/>
  <c r="R74" i="13"/>
  <c r="Q74" i="13"/>
  <c r="P74" i="13"/>
  <c r="O74" i="13"/>
  <c r="R73" i="13"/>
  <c r="Q73" i="13"/>
  <c r="P73" i="13"/>
  <c r="O73" i="13"/>
  <c r="R72" i="13"/>
  <c r="Q72" i="13"/>
  <c r="P72" i="13"/>
  <c r="O72" i="13"/>
  <c r="R71" i="13"/>
  <c r="Q71" i="13"/>
  <c r="P71" i="13"/>
  <c r="O71" i="13"/>
  <c r="R70" i="13"/>
  <c r="Q70" i="13"/>
  <c r="P70" i="13"/>
  <c r="O70" i="13"/>
  <c r="R69" i="13"/>
  <c r="Q69" i="13"/>
  <c r="P69" i="13"/>
  <c r="O69" i="13"/>
  <c r="R68" i="13"/>
  <c r="Q68" i="13"/>
  <c r="P68" i="13"/>
  <c r="O68" i="13"/>
  <c r="R67" i="13"/>
  <c r="Q67" i="13"/>
  <c r="P67" i="13"/>
  <c r="O67" i="13"/>
  <c r="R66" i="13"/>
  <c r="Q66" i="13"/>
  <c r="P66" i="13"/>
  <c r="O66" i="13"/>
  <c r="R65" i="13"/>
  <c r="Q65" i="13"/>
  <c r="P65" i="13"/>
  <c r="O65" i="13"/>
  <c r="R64" i="13"/>
  <c r="Q64" i="13"/>
  <c r="P64" i="13"/>
  <c r="O64" i="13"/>
  <c r="R63" i="13"/>
  <c r="Q63" i="13"/>
  <c r="P63" i="13"/>
  <c r="O63" i="13"/>
  <c r="R62" i="13"/>
  <c r="Q62" i="13"/>
  <c r="P62" i="13"/>
  <c r="O62" i="13"/>
  <c r="R61" i="13"/>
  <c r="Q61" i="13"/>
  <c r="P61" i="13"/>
  <c r="O61" i="13"/>
  <c r="R60" i="13"/>
  <c r="Q60" i="13"/>
  <c r="P60" i="13"/>
  <c r="O60" i="13"/>
  <c r="R59" i="13"/>
  <c r="Q59" i="13"/>
  <c r="P59" i="13"/>
  <c r="O59" i="13"/>
  <c r="R58" i="13"/>
  <c r="Q58" i="13"/>
  <c r="P58" i="13"/>
  <c r="O58" i="13"/>
  <c r="R57" i="13"/>
  <c r="Q57" i="13"/>
  <c r="P57" i="13"/>
  <c r="O57" i="13"/>
  <c r="R56" i="13"/>
  <c r="Q56" i="13"/>
  <c r="P56" i="13"/>
  <c r="O56" i="13"/>
  <c r="R55" i="13"/>
  <c r="Q55" i="13"/>
  <c r="P55" i="13"/>
  <c r="O55" i="13"/>
  <c r="R54" i="13"/>
  <c r="Q54" i="13"/>
  <c r="P54" i="13"/>
  <c r="O54" i="13"/>
  <c r="R53" i="13"/>
  <c r="Q53" i="13"/>
  <c r="P53" i="13"/>
  <c r="O53" i="13"/>
  <c r="R52" i="13"/>
  <c r="Q52" i="13"/>
  <c r="P52" i="13"/>
  <c r="O52" i="13"/>
  <c r="R51" i="13"/>
  <c r="Q51" i="13"/>
  <c r="P51" i="13"/>
  <c r="O51" i="13"/>
  <c r="R50" i="13"/>
  <c r="Q50" i="13"/>
  <c r="P50" i="13"/>
  <c r="O50" i="13"/>
  <c r="R49" i="13"/>
  <c r="Q49" i="13"/>
  <c r="P49" i="13"/>
  <c r="O49" i="13"/>
  <c r="R48" i="13"/>
  <c r="Q48" i="13"/>
  <c r="P48" i="13"/>
  <c r="O48" i="13"/>
  <c r="R47" i="13"/>
  <c r="Q47" i="13"/>
  <c r="P47" i="13"/>
  <c r="O47" i="13"/>
  <c r="R46" i="13"/>
  <c r="Q46" i="13"/>
  <c r="P46" i="13"/>
  <c r="O46" i="13"/>
  <c r="R45" i="13"/>
  <c r="Q45" i="13"/>
  <c r="P45" i="13"/>
  <c r="O45" i="13"/>
  <c r="R44" i="13"/>
  <c r="Q44" i="13"/>
  <c r="P44" i="13"/>
  <c r="O44" i="13"/>
  <c r="R43" i="13"/>
  <c r="Q43" i="13"/>
  <c r="P43" i="13"/>
  <c r="O43" i="13"/>
  <c r="R42" i="13"/>
  <c r="Q42" i="13"/>
  <c r="P42" i="13"/>
  <c r="O42" i="13"/>
  <c r="R41" i="13"/>
  <c r="Q41" i="13"/>
  <c r="P41" i="13"/>
  <c r="O41" i="13"/>
  <c r="R40" i="13"/>
  <c r="Q40" i="13"/>
  <c r="P40" i="13"/>
  <c r="O40" i="13"/>
  <c r="R39" i="13"/>
  <c r="Q39" i="13"/>
  <c r="P39" i="13"/>
  <c r="O39" i="13"/>
  <c r="R38" i="13"/>
  <c r="Q38" i="13"/>
  <c r="P38" i="13"/>
  <c r="O38" i="13"/>
  <c r="R37" i="13"/>
  <c r="Q37" i="13"/>
  <c r="P37" i="13"/>
  <c r="O37" i="13"/>
  <c r="R36" i="13"/>
  <c r="Q36" i="13"/>
  <c r="P36" i="13"/>
  <c r="O36" i="13"/>
  <c r="R35" i="13"/>
  <c r="Q35" i="13"/>
  <c r="P35" i="13"/>
  <c r="O35" i="13"/>
  <c r="R34" i="13"/>
  <c r="Q34" i="13"/>
  <c r="P34" i="13"/>
  <c r="O34" i="13"/>
  <c r="R33" i="13"/>
  <c r="Q33" i="13"/>
  <c r="P33" i="13"/>
  <c r="O33" i="13"/>
  <c r="R32" i="13"/>
  <c r="Q32" i="13"/>
  <c r="P32" i="13"/>
  <c r="O32" i="13"/>
  <c r="R31" i="13"/>
  <c r="Q31" i="13"/>
  <c r="P31" i="13"/>
  <c r="O31" i="13"/>
  <c r="R30" i="13"/>
  <c r="Q30" i="13"/>
  <c r="P30" i="13"/>
  <c r="O30" i="13"/>
  <c r="R29" i="13"/>
  <c r="Q29" i="13"/>
  <c r="P29" i="13"/>
  <c r="O29" i="13"/>
  <c r="R28" i="13"/>
  <c r="Q28" i="13"/>
  <c r="P28" i="13"/>
  <c r="O28" i="13"/>
  <c r="R27" i="13"/>
  <c r="Q27" i="13"/>
  <c r="P27" i="13"/>
  <c r="O27" i="13"/>
  <c r="R26" i="13"/>
  <c r="Q26" i="13"/>
  <c r="P26" i="13"/>
  <c r="O26" i="13"/>
  <c r="R25" i="13"/>
  <c r="Q25" i="13"/>
  <c r="P25" i="13"/>
  <c r="O25" i="13"/>
  <c r="R24" i="13"/>
  <c r="Q24" i="13"/>
  <c r="P24" i="13"/>
  <c r="O24" i="13"/>
  <c r="R23" i="13"/>
  <c r="Q23" i="13"/>
  <c r="P23" i="13"/>
  <c r="O23" i="13"/>
  <c r="R22" i="13"/>
  <c r="Q22" i="13"/>
  <c r="P22" i="13"/>
  <c r="O22" i="13"/>
  <c r="R21" i="13"/>
  <c r="Q21" i="13"/>
  <c r="P21" i="13"/>
  <c r="O21" i="13"/>
  <c r="R20" i="13"/>
  <c r="Q20" i="13"/>
  <c r="P20" i="13"/>
  <c r="O20" i="13"/>
  <c r="R19" i="13"/>
  <c r="Q19" i="13"/>
  <c r="P19" i="13"/>
  <c r="O19" i="13"/>
  <c r="R18" i="13"/>
  <c r="Q18" i="13"/>
  <c r="P18" i="13"/>
  <c r="O18" i="13"/>
  <c r="R17" i="13"/>
  <c r="Q17" i="13"/>
  <c r="P17" i="13"/>
  <c r="O17" i="13"/>
  <c r="R16" i="13"/>
  <c r="Q16" i="13"/>
  <c r="P16" i="13"/>
  <c r="O16" i="13"/>
  <c r="R15" i="13"/>
  <c r="Q15" i="13"/>
  <c r="P15" i="13"/>
  <c r="O15" i="13"/>
  <c r="R14" i="13"/>
  <c r="Q14" i="13"/>
  <c r="P14" i="13"/>
  <c r="O14" i="13"/>
  <c r="R13" i="13"/>
  <c r="Q13" i="13"/>
  <c r="P13" i="13"/>
  <c r="O13" i="13"/>
  <c r="R12" i="13"/>
  <c r="Q12" i="13"/>
  <c r="P12" i="13"/>
  <c r="O12" i="13"/>
  <c r="R11" i="13"/>
  <c r="Q11" i="13"/>
  <c r="P11" i="13"/>
  <c r="O11" i="13"/>
  <c r="R10" i="13"/>
  <c r="Q10" i="13"/>
  <c r="P10" i="13"/>
  <c r="O10" i="13"/>
  <c r="R9" i="13"/>
  <c r="Q9" i="13"/>
  <c r="P9" i="13"/>
  <c r="O9" i="13"/>
  <c r="R8" i="13"/>
  <c r="Q8" i="13"/>
  <c r="P8" i="13"/>
  <c r="O8" i="13"/>
  <c r="O7" i="13"/>
  <c r="O6" i="13" s="1"/>
  <c r="Q7" i="13"/>
  <c r="Q6" i="13" s="1"/>
  <c r="P7" i="13"/>
  <c r="P6" i="13" s="1"/>
  <c r="Q6" i="16"/>
  <c r="A9" i="16"/>
  <c r="A8" i="16"/>
  <c r="N106" i="16"/>
  <c r="M106" i="16"/>
  <c r="L106" i="16"/>
  <c r="B106" i="16"/>
  <c r="A106" i="16"/>
  <c r="T106" i="16" s="1"/>
  <c r="N105" i="16"/>
  <c r="M105" i="16"/>
  <c r="L105" i="16"/>
  <c r="B105" i="16"/>
  <c r="A105" i="16"/>
  <c r="T105" i="16" s="1"/>
  <c r="N104" i="16"/>
  <c r="M104" i="16"/>
  <c r="L104" i="16"/>
  <c r="B104" i="16"/>
  <c r="A104" i="16"/>
  <c r="T104" i="16" s="1"/>
  <c r="N103" i="16"/>
  <c r="M103" i="16"/>
  <c r="L103" i="16"/>
  <c r="B103" i="16"/>
  <c r="A103" i="16"/>
  <c r="T103" i="16" s="1"/>
  <c r="N102" i="16"/>
  <c r="M102" i="16"/>
  <c r="L102" i="16"/>
  <c r="B102" i="16"/>
  <c r="A102" i="16"/>
  <c r="T102" i="16" s="1"/>
  <c r="N101" i="16"/>
  <c r="M101" i="16"/>
  <c r="L101" i="16"/>
  <c r="B101" i="16"/>
  <c r="A101" i="16"/>
  <c r="T101" i="16" s="1"/>
  <c r="N100" i="16"/>
  <c r="M100" i="16"/>
  <c r="L100" i="16"/>
  <c r="B100" i="16"/>
  <c r="A100" i="16"/>
  <c r="T100" i="16" s="1"/>
  <c r="N99" i="16"/>
  <c r="M99" i="16"/>
  <c r="L99" i="16"/>
  <c r="B99" i="16"/>
  <c r="A99" i="16"/>
  <c r="T99" i="16" s="1"/>
  <c r="N98" i="16"/>
  <c r="M98" i="16"/>
  <c r="L98" i="16"/>
  <c r="B98" i="16"/>
  <c r="A98" i="16"/>
  <c r="T98" i="16" s="1"/>
  <c r="N97" i="16"/>
  <c r="M97" i="16"/>
  <c r="L97" i="16"/>
  <c r="B97" i="16"/>
  <c r="A97" i="16"/>
  <c r="T97" i="16" s="1"/>
  <c r="N96" i="16"/>
  <c r="M96" i="16"/>
  <c r="L96" i="16"/>
  <c r="B96" i="16"/>
  <c r="A96" i="16"/>
  <c r="T96" i="16" s="1"/>
  <c r="N95" i="16"/>
  <c r="M95" i="16"/>
  <c r="L95" i="16"/>
  <c r="B95" i="16"/>
  <c r="A95" i="16"/>
  <c r="T95" i="16" s="1"/>
  <c r="N94" i="16"/>
  <c r="M94" i="16"/>
  <c r="L94" i="16"/>
  <c r="B94" i="16"/>
  <c r="A94" i="16"/>
  <c r="T94" i="16" s="1"/>
  <c r="N93" i="16"/>
  <c r="M93" i="16"/>
  <c r="L93" i="16"/>
  <c r="B93" i="16"/>
  <c r="A93" i="16"/>
  <c r="T93" i="16" s="1"/>
  <c r="N92" i="16"/>
  <c r="M92" i="16"/>
  <c r="L92" i="16"/>
  <c r="B92" i="16"/>
  <c r="A92" i="16"/>
  <c r="T92" i="16" s="1"/>
  <c r="N91" i="16"/>
  <c r="M91" i="16"/>
  <c r="L91" i="16"/>
  <c r="B91" i="16"/>
  <c r="A91" i="16"/>
  <c r="T91" i="16" s="1"/>
  <c r="N90" i="16"/>
  <c r="M90" i="16"/>
  <c r="L90" i="16"/>
  <c r="B90" i="16"/>
  <c r="A90" i="16"/>
  <c r="T90" i="16" s="1"/>
  <c r="N89" i="16"/>
  <c r="M89" i="16"/>
  <c r="L89" i="16"/>
  <c r="B89" i="16"/>
  <c r="A89" i="16"/>
  <c r="T89" i="16" s="1"/>
  <c r="N88" i="16"/>
  <c r="M88" i="16"/>
  <c r="L88" i="16"/>
  <c r="B88" i="16"/>
  <c r="A88" i="16"/>
  <c r="T88" i="16" s="1"/>
  <c r="N87" i="16"/>
  <c r="M87" i="16"/>
  <c r="L87" i="16"/>
  <c r="B87" i="16"/>
  <c r="A87" i="16"/>
  <c r="T87" i="16" s="1"/>
  <c r="N86" i="16"/>
  <c r="M86" i="16"/>
  <c r="L86" i="16"/>
  <c r="B86" i="16"/>
  <c r="A86" i="16"/>
  <c r="T86" i="16" s="1"/>
  <c r="N85" i="16"/>
  <c r="M85" i="16"/>
  <c r="L85" i="16"/>
  <c r="B85" i="16"/>
  <c r="A85" i="16"/>
  <c r="T85" i="16" s="1"/>
  <c r="N84" i="16"/>
  <c r="M84" i="16"/>
  <c r="L84" i="16"/>
  <c r="B84" i="16"/>
  <c r="A84" i="16"/>
  <c r="T84" i="16" s="1"/>
  <c r="N83" i="16"/>
  <c r="M83" i="16"/>
  <c r="L83" i="16"/>
  <c r="B83" i="16"/>
  <c r="A83" i="16"/>
  <c r="T83" i="16" s="1"/>
  <c r="N82" i="16"/>
  <c r="M82" i="16"/>
  <c r="L82" i="16"/>
  <c r="B82" i="16"/>
  <c r="A82" i="16"/>
  <c r="T82" i="16" s="1"/>
  <c r="N81" i="16"/>
  <c r="M81" i="16"/>
  <c r="L81" i="16"/>
  <c r="B81" i="16"/>
  <c r="A81" i="16"/>
  <c r="T81" i="16" s="1"/>
  <c r="N80" i="16"/>
  <c r="M80" i="16"/>
  <c r="L80" i="16"/>
  <c r="B80" i="16"/>
  <c r="A80" i="16"/>
  <c r="T80" i="16" s="1"/>
  <c r="N79" i="16"/>
  <c r="M79" i="16"/>
  <c r="L79" i="16"/>
  <c r="B79" i="16"/>
  <c r="A79" i="16"/>
  <c r="T79" i="16" s="1"/>
  <c r="N78" i="16"/>
  <c r="M78" i="16"/>
  <c r="L78" i="16"/>
  <c r="B78" i="16"/>
  <c r="A78" i="16"/>
  <c r="T78" i="16" s="1"/>
  <c r="N77" i="16"/>
  <c r="M77" i="16"/>
  <c r="L77" i="16"/>
  <c r="B77" i="16"/>
  <c r="A77" i="16"/>
  <c r="T77" i="16" s="1"/>
  <c r="N76" i="16"/>
  <c r="M76" i="16"/>
  <c r="L76" i="16"/>
  <c r="B76" i="16"/>
  <c r="A76" i="16"/>
  <c r="T76" i="16" s="1"/>
  <c r="N75" i="16"/>
  <c r="M75" i="16"/>
  <c r="L75" i="16"/>
  <c r="B75" i="16"/>
  <c r="A75" i="16"/>
  <c r="T75" i="16" s="1"/>
  <c r="N74" i="16"/>
  <c r="M74" i="16"/>
  <c r="L74" i="16"/>
  <c r="B74" i="16"/>
  <c r="A74" i="16"/>
  <c r="T74" i="16" s="1"/>
  <c r="N73" i="16"/>
  <c r="M73" i="16"/>
  <c r="L73" i="16"/>
  <c r="B73" i="16"/>
  <c r="A73" i="16"/>
  <c r="T73" i="16" s="1"/>
  <c r="N72" i="16"/>
  <c r="M72" i="16"/>
  <c r="L72" i="16"/>
  <c r="B72" i="16"/>
  <c r="A72" i="16"/>
  <c r="T72" i="16" s="1"/>
  <c r="N71" i="16"/>
  <c r="M71" i="16"/>
  <c r="L71" i="16"/>
  <c r="B71" i="16"/>
  <c r="A71" i="16"/>
  <c r="T71" i="16" s="1"/>
  <c r="N70" i="16"/>
  <c r="M70" i="16"/>
  <c r="L70" i="16"/>
  <c r="B70" i="16"/>
  <c r="A70" i="16"/>
  <c r="T70" i="16" s="1"/>
  <c r="N69" i="16"/>
  <c r="M69" i="16"/>
  <c r="L69" i="16"/>
  <c r="B69" i="16"/>
  <c r="A69" i="16"/>
  <c r="T69" i="16" s="1"/>
  <c r="N68" i="16"/>
  <c r="M68" i="16"/>
  <c r="L68" i="16"/>
  <c r="B68" i="16"/>
  <c r="A68" i="16"/>
  <c r="T68" i="16" s="1"/>
  <c r="N67" i="16"/>
  <c r="M67" i="16"/>
  <c r="L67" i="16"/>
  <c r="B67" i="16"/>
  <c r="A67" i="16"/>
  <c r="T67" i="16" s="1"/>
  <c r="N66" i="16"/>
  <c r="M66" i="16"/>
  <c r="L66" i="16"/>
  <c r="B66" i="16"/>
  <c r="A66" i="16"/>
  <c r="T66" i="16" s="1"/>
  <c r="N65" i="16"/>
  <c r="M65" i="16"/>
  <c r="L65" i="16"/>
  <c r="B65" i="16"/>
  <c r="A65" i="16"/>
  <c r="T65" i="16" s="1"/>
  <c r="N64" i="16"/>
  <c r="M64" i="16"/>
  <c r="L64" i="16"/>
  <c r="B64" i="16"/>
  <c r="A64" i="16"/>
  <c r="T64" i="16" s="1"/>
  <c r="N63" i="16"/>
  <c r="M63" i="16"/>
  <c r="L63" i="16"/>
  <c r="B63" i="16"/>
  <c r="A63" i="16"/>
  <c r="T63" i="16" s="1"/>
  <c r="N62" i="16"/>
  <c r="M62" i="16"/>
  <c r="L62" i="16"/>
  <c r="B62" i="16"/>
  <c r="A62" i="16"/>
  <c r="T62" i="16" s="1"/>
  <c r="N61" i="16"/>
  <c r="M61" i="16"/>
  <c r="L61" i="16"/>
  <c r="B61" i="16"/>
  <c r="A61" i="16"/>
  <c r="T61" i="16" s="1"/>
  <c r="N60" i="16"/>
  <c r="M60" i="16"/>
  <c r="L60" i="16"/>
  <c r="B60" i="16"/>
  <c r="A60" i="16"/>
  <c r="T60" i="16" s="1"/>
  <c r="N59" i="16"/>
  <c r="M59" i="16"/>
  <c r="L59" i="16"/>
  <c r="B59" i="16"/>
  <c r="A59" i="16"/>
  <c r="T59" i="16" s="1"/>
  <c r="N58" i="16"/>
  <c r="M58" i="16"/>
  <c r="L58" i="16"/>
  <c r="B58" i="16"/>
  <c r="A58" i="16"/>
  <c r="T58" i="16" s="1"/>
  <c r="N57" i="16"/>
  <c r="M57" i="16"/>
  <c r="L57" i="16"/>
  <c r="B57" i="16"/>
  <c r="A57" i="16"/>
  <c r="T57" i="16" s="1"/>
  <c r="N56" i="16"/>
  <c r="M56" i="16"/>
  <c r="L56" i="16"/>
  <c r="B56" i="16"/>
  <c r="A56" i="16"/>
  <c r="T56" i="16" s="1"/>
  <c r="N55" i="16"/>
  <c r="M55" i="16"/>
  <c r="L55" i="16"/>
  <c r="B55" i="16"/>
  <c r="A55" i="16"/>
  <c r="T55" i="16" s="1"/>
  <c r="N54" i="16"/>
  <c r="M54" i="16"/>
  <c r="L54" i="16"/>
  <c r="B54" i="16"/>
  <c r="A54" i="16"/>
  <c r="T54" i="16" s="1"/>
  <c r="N53" i="16"/>
  <c r="M53" i="16"/>
  <c r="L53" i="16"/>
  <c r="B53" i="16"/>
  <c r="A53" i="16"/>
  <c r="T53" i="16" s="1"/>
  <c r="N52" i="16"/>
  <c r="M52" i="16"/>
  <c r="L52" i="16"/>
  <c r="B52" i="16"/>
  <c r="A52" i="16"/>
  <c r="T52" i="16" s="1"/>
  <c r="N51" i="16"/>
  <c r="M51" i="16"/>
  <c r="L51" i="16"/>
  <c r="B51" i="16"/>
  <c r="A51" i="16"/>
  <c r="T51" i="16" s="1"/>
  <c r="N50" i="16"/>
  <c r="M50" i="16"/>
  <c r="L50" i="16"/>
  <c r="B50" i="16"/>
  <c r="A50" i="16"/>
  <c r="T50" i="16" s="1"/>
  <c r="N49" i="16"/>
  <c r="M49" i="16"/>
  <c r="L49" i="16"/>
  <c r="B49" i="16"/>
  <c r="A49" i="16"/>
  <c r="T49" i="16" s="1"/>
  <c r="N48" i="16"/>
  <c r="M48" i="16"/>
  <c r="L48" i="16"/>
  <c r="B48" i="16"/>
  <c r="A48" i="16"/>
  <c r="T48" i="16" s="1"/>
  <c r="N47" i="16"/>
  <c r="M47" i="16"/>
  <c r="L47" i="16"/>
  <c r="B47" i="16"/>
  <c r="A47" i="16"/>
  <c r="T47" i="16" s="1"/>
  <c r="N46" i="16"/>
  <c r="M46" i="16"/>
  <c r="L46" i="16"/>
  <c r="B46" i="16"/>
  <c r="A46" i="16"/>
  <c r="T46" i="16" s="1"/>
  <c r="N45" i="16"/>
  <c r="M45" i="16"/>
  <c r="L45" i="16"/>
  <c r="B45" i="16"/>
  <c r="A45" i="16"/>
  <c r="T45" i="16" s="1"/>
  <c r="N44" i="16"/>
  <c r="M44" i="16"/>
  <c r="L44" i="16"/>
  <c r="B44" i="16"/>
  <c r="A44" i="16"/>
  <c r="T44" i="16" s="1"/>
  <c r="N43" i="16"/>
  <c r="M43" i="16"/>
  <c r="L43" i="16"/>
  <c r="B43" i="16"/>
  <c r="A43" i="16"/>
  <c r="T43" i="16" s="1"/>
  <c r="N42" i="16"/>
  <c r="M42" i="16"/>
  <c r="L42" i="16"/>
  <c r="B42" i="16"/>
  <c r="A42" i="16"/>
  <c r="T42" i="16" s="1"/>
  <c r="N41" i="16"/>
  <c r="M41" i="16"/>
  <c r="L41" i="16"/>
  <c r="B41" i="16"/>
  <c r="A41" i="16"/>
  <c r="T41" i="16" s="1"/>
  <c r="N40" i="16"/>
  <c r="M40" i="16"/>
  <c r="L40" i="16"/>
  <c r="A40" i="16"/>
  <c r="T40" i="16" s="1"/>
  <c r="N39" i="16"/>
  <c r="M39" i="16"/>
  <c r="L39" i="16"/>
  <c r="A39" i="16"/>
  <c r="N38" i="16"/>
  <c r="M38" i="16"/>
  <c r="L38" i="16"/>
  <c r="A38" i="16"/>
  <c r="T38" i="16" s="1"/>
  <c r="N37" i="16"/>
  <c r="M37" i="16"/>
  <c r="L37" i="16"/>
  <c r="A37" i="16"/>
  <c r="T37" i="16" s="1"/>
  <c r="N36" i="16"/>
  <c r="M36" i="16"/>
  <c r="L36" i="16"/>
  <c r="A36" i="16"/>
  <c r="T36" i="16" s="1"/>
  <c r="N35" i="16"/>
  <c r="M35" i="16"/>
  <c r="L35" i="16"/>
  <c r="A35" i="16"/>
  <c r="T35" i="16" s="1"/>
  <c r="N34" i="16"/>
  <c r="M34" i="16"/>
  <c r="L34" i="16"/>
  <c r="A34" i="16"/>
  <c r="N33" i="16"/>
  <c r="M33" i="16"/>
  <c r="L33" i="16"/>
  <c r="A33" i="16"/>
  <c r="N32" i="16"/>
  <c r="M32" i="16"/>
  <c r="L32" i="16"/>
  <c r="A32" i="16"/>
  <c r="N31" i="16"/>
  <c r="M31" i="16"/>
  <c r="L31" i="16"/>
  <c r="A31" i="16"/>
  <c r="N30" i="16"/>
  <c r="M30" i="16"/>
  <c r="L30" i="16"/>
  <c r="A30" i="16"/>
  <c r="N29" i="16"/>
  <c r="M29" i="16"/>
  <c r="L29" i="16"/>
  <c r="A29" i="16"/>
  <c r="N28" i="16"/>
  <c r="M28" i="16"/>
  <c r="L28" i="16"/>
  <c r="A28" i="16"/>
  <c r="T28" i="16" s="1"/>
  <c r="N27" i="16"/>
  <c r="M27" i="16"/>
  <c r="L27" i="16"/>
  <c r="A27" i="16"/>
  <c r="T27" i="16" s="1"/>
  <c r="N26" i="16"/>
  <c r="M26" i="16"/>
  <c r="L26" i="16"/>
  <c r="A26" i="16"/>
  <c r="N25" i="16"/>
  <c r="M25" i="16"/>
  <c r="L25" i="16"/>
  <c r="A25" i="16"/>
  <c r="N24" i="16"/>
  <c r="M24" i="16"/>
  <c r="L24" i="16"/>
  <c r="A24" i="16"/>
  <c r="N23" i="16"/>
  <c r="M23" i="16"/>
  <c r="L23" i="16"/>
  <c r="A23" i="16"/>
  <c r="N22" i="16"/>
  <c r="M22" i="16"/>
  <c r="L22" i="16"/>
  <c r="A22" i="16"/>
  <c r="N21" i="16"/>
  <c r="M21" i="16"/>
  <c r="L21" i="16"/>
  <c r="A21" i="16"/>
  <c r="N20" i="16"/>
  <c r="M20" i="16"/>
  <c r="L20" i="16"/>
  <c r="A20" i="16"/>
  <c r="N19" i="16"/>
  <c r="M19" i="16"/>
  <c r="L19" i="16"/>
  <c r="A19" i="16"/>
  <c r="N18" i="16"/>
  <c r="M18" i="16"/>
  <c r="L18" i="16"/>
  <c r="A18" i="16"/>
  <c r="N17" i="16"/>
  <c r="M17" i="16"/>
  <c r="L17" i="16"/>
  <c r="A17" i="16"/>
  <c r="N16" i="16"/>
  <c r="M16" i="16"/>
  <c r="L16" i="16"/>
  <c r="A16" i="16"/>
  <c r="N15" i="16"/>
  <c r="M15" i="16"/>
  <c r="L15" i="16"/>
  <c r="A15" i="16"/>
  <c r="N14" i="16"/>
  <c r="M14" i="16"/>
  <c r="L14" i="16"/>
  <c r="A14" i="16"/>
  <c r="N13" i="16"/>
  <c r="M13" i="16"/>
  <c r="L13" i="16"/>
  <c r="A13" i="16"/>
  <c r="N12" i="16"/>
  <c r="M12" i="16"/>
  <c r="L12" i="16"/>
  <c r="A12" i="16"/>
  <c r="N11" i="16"/>
  <c r="M11" i="16"/>
  <c r="L11" i="16"/>
  <c r="A11" i="16"/>
  <c r="N10" i="16"/>
  <c r="M10" i="16"/>
  <c r="L10" i="16"/>
  <c r="A10" i="16"/>
  <c r="N9" i="16"/>
  <c r="M9" i="16"/>
  <c r="L9" i="16"/>
  <c r="N8" i="16"/>
  <c r="M8" i="16"/>
  <c r="L8" i="16"/>
  <c r="R6" i="16"/>
  <c r="N7" i="16"/>
  <c r="N6" i="16" s="1"/>
  <c r="M7" i="16"/>
  <c r="M6" i="16" s="1"/>
  <c r="L7" i="16"/>
  <c r="L6" i="16" s="1"/>
  <c r="B7" i="16"/>
  <c r="B8" i="16" s="1"/>
  <c r="A7" i="16"/>
  <c r="E3" i="16"/>
  <c r="A1" i="16"/>
  <c r="M106" i="13"/>
  <c r="M105" i="13"/>
  <c r="M104" i="13"/>
  <c r="M103" i="13"/>
  <c r="M102" i="13"/>
  <c r="M101" i="13"/>
  <c r="M100" i="13"/>
  <c r="M99" i="13"/>
  <c r="M98" i="13"/>
  <c r="M97" i="13"/>
  <c r="M96" i="13"/>
  <c r="M95" i="13"/>
  <c r="M94" i="13"/>
  <c r="M93" i="13"/>
  <c r="M92" i="13"/>
  <c r="M91" i="13"/>
  <c r="M90" i="13"/>
  <c r="M89" i="13"/>
  <c r="M88" i="13"/>
  <c r="M87" i="13"/>
  <c r="M86" i="13"/>
  <c r="M85" i="13"/>
  <c r="M84" i="13"/>
  <c r="M83" i="13"/>
  <c r="M82" i="13"/>
  <c r="M81" i="13"/>
  <c r="M80" i="13"/>
  <c r="M79" i="13"/>
  <c r="M78" i="13"/>
  <c r="M77" i="13"/>
  <c r="M76" i="13"/>
  <c r="M75" i="13"/>
  <c r="M74" i="13"/>
  <c r="M73" i="13"/>
  <c r="M72" i="13"/>
  <c r="M71" i="13"/>
  <c r="M70" i="13"/>
  <c r="M69" i="13"/>
  <c r="M68" i="13"/>
  <c r="M67" i="13"/>
  <c r="M66" i="13"/>
  <c r="M65" i="13"/>
  <c r="M64" i="13"/>
  <c r="M63" i="13"/>
  <c r="M62" i="13"/>
  <c r="M61" i="13"/>
  <c r="M60" i="13"/>
  <c r="M59" i="13"/>
  <c r="M58" i="13"/>
  <c r="M57" i="13"/>
  <c r="M56" i="13"/>
  <c r="M55" i="13"/>
  <c r="M54" i="13"/>
  <c r="M53" i="13"/>
  <c r="M52" i="13"/>
  <c r="M51" i="13"/>
  <c r="M50" i="13"/>
  <c r="M49" i="13"/>
  <c r="M48" i="13"/>
  <c r="M47" i="13"/>
  <c r="M46" i="13"/>
  <c r="M45" i="13"/>
  <c r="M44" i="13"/>
  <c r="M43" i="13"/>
  <c r="M42" i="13"/>
  <c r="M41" i="13"/>
  <c r="M40" i="13"/>
  <c r="M39" i="13"/>
  <c r="M38" i="13"/>
  <c r="M37" i="13"/>
  <c r="M36" i="13"/>
  <c r="M35" i="13"/>
  <c r="M34" i="13"/>
  <c r="M33" i="13"/>
  <c r="M32" i="13"/>
  <c r="M31" i="13"/>
  <c r="M30" i="13"/>
  <c r="M29" i="13"/>
  <c r="M28" i="13"/>
  <c r="M27" i="13"/>
  <c r="M26" i="13"/>
  <c r="M25" i="13"/>
  <c r="M24" i="13"/>
  <c r="M23" i="13"/>
  <c r="M22" i="13"/>
  <c r="M21" i="13"/>
  <c r="M20" i="13"/>
  <c r="M19" i="13"/>
  <c r="M18" i="13"/>
  <c r="M17" i="13"/>
  <c r="M16" i="13"/>
  <c r="M15" i="13"/>
  <c r="M14" i="13"/>
  <c r="M13" i="13"/>
  <c r="M12" i="13"/>
  <c r="M11" i="13"/>
  <c r="M10" i="13"/>
  <c r="M9" i="13"/>
  <c r="M8" i="13"/>
  <c r="M7" i="13"/>
  <c r="M6" i="13" s="1"/>
  <c r="L7" i="13"/>
  <c r="L6" i="13" s="1"/>
  <c r="N7" i="13"/>
  <c r="N6" i="13" s="1"/>
  <c r="R7" i="13"/>
  <c r="R6" i="13" s="1"/>
  <c r="I27" i="8"/>
  <c r="I24" i="8"/>
  <c r="I20" i="8"/>
  <c r="I11" i="8"/>
  <c r="I12" i="8"/>
  <c r="I13" i="8"/>
  <c r="I26" i="5"/>
  <c r="I24" i="5"/>
  <c r="A106" i="13"/>
  <c r="T106" i="13" s="1"/>
  <c r="A105" i="13"/>
  <c r="A104" i="13"/>
  <c r="A103" i="13"/>
  <c r="T103" i="13" s="1"/>
  <c r="A102" i="13"/>
  <c r="T102" i="13" s="1"/>
  <c r="A101" i="13"/>
  <c r="T101" i="13" s="1"/>
  <c r="A100" i="13"/>
  <c r="T100" i="13" s="1"/>
  <c r="A99" i="13"/>
  <c r="T99" i="13" s="1"/>
  <c r="A98" i="13"/>
  <c r="T98" i="13" s="1"/>
  <c r="A97" i="13"/>
  <c r="T97" i="13" s="1"/>
  <c r="A96" i="13"/>
  <c r="T96" i="13" s="1"/>
  <c r="A95" i="13"/>
  <c r="T95" i="13" s="1"/>
  <c r="A94" i="13"/>
  <c r="T94" i="13" s="1"/>
  <c r="A93" i="13"/>
  <c r="T93" i="13" s="1"/>
  <c r="A92" i="13"/>
  <c r="T92" i="13" s="1"/>
  <c r="A91" i="13"/>
  <c r="T91" i="13" s="1"/>
  <c r="A90" i="13"/>
  <c r="T90" i="13" s="1"/>
  <c r="A89" i="13"/>
  <c r="T89" i="13" s="1"/>
  <c r="A88" i="13"/>
  <c r="T88" i="13" s="1"/>
  <c r="A87" i="13"/>
  <c r="T87" i="13" s="1"/>
  <c r="A86" i="13"/>
  <c r="T86" i="13" s="1"/>
  <c r="A85" i="13"/>
  <c r="T85" i="13" s="1"/>
  <c r="A84" i="13"/>
  <c r="T84" i="13" s="1"/>
  <c r="A83" i="13"/>
  <c r="T83" i="13" s="1"/>
  <c r="A82" i="13"/>
  <c r="T82" i="13" s="1"/>
  <c r="A81" i="13"/>
  <c r="T81" i="13" s="1"/>
  <c r="A80" i="13"/>
  <c r="T80" i="13" s="1"/>
  <c r="A79" i="13"/>
  <c r="T79" i="13" s="1"/>
  <c r="A78" i="13"/>
  <c r="T78" i="13" s="1"/>
  <c r="A77" i="13"/>
  <c r="T77" i="13" s="1"/>
  <c r="A76" i="13"/>
  <c r="T76" i="13" s="1"/>
  <c r="A75" i="13"/>
  <c r="T75" i="13" s="1"/>
  <c r="A74" i="13"/>
  <c r="T74" i="13" s="1"/>
  <c r="A73" i="13"/>
  <c r="T73" i="13" s="1"/>
  <c r="A72" i="13"/>
  <c r="T72" i="13" s="1"/>
  <c r="A71" i="13"/>
  <c r="T71" i="13" s="1"/>
  <c r="A70" i="13"/>
  <c r="T70" i="13" s="1"/>
  <c r="A69" i="13"/>
  <c r="T69" i="13" s="1"/>
  <c r="A68" i="13"/>
  <c r="T68" i="13" s="1"/>
  <c r="A67" i="13"/>
  <c r="T67" i="13" s="1"/>
  <c r="A66" i="13"/>
  <c r="T66" i="13" s="1"/>
  <c r="A65" i="13"/>
  <c r="T65" i="13" s="1"/>
  <c r="A64" i="13"/>
  <c r="T64" i="13" s="1"/>
  <c r="A63" i="13"/>
  <c r="T63" i="13" s="1"/>
  <c r="A62" i="13"/>
  <c r="T62" i="13" s="1"/>
  <c r="A61" i="13"/>
  <c r="T61" i="13" s="1"/>
  <c r="A60" i="13"/>
  <c r="T60" i="13" s="1"/>
  <c r="A59" i="13"/>
  <c r="T59" i="13" s="1"/>
  <c r="A58" i="13"/>
  <c r="T58" i="13" s="1"/>
  <c r="A57" i="13"/>
  <c r="T57" i="13" s="1"/>
  <c r="A56" i="13"/>
  <c r="T56" i="13" s="1"/>
  <c r="A55" i="13"/>
  <c r="T55" i="13" s="1"/>
  <c r="A54" i="13"/>
  <c r="T54" i="13" s="1"/>
  <c r="A53" i="13"/>
  <c r="T53" i="13" s="1"/>
  <c r="A52" i="13"/>
  <c r="T52" i="13" s="1"/>
  <c r="A51" i="13"/>
  <c r="T51" i="13" s="1"/>
  <c r="A50" i="13"/>
  <c r="T50" i="13" s="1"/>
  <c r="A49" i="13"/>
  <c r="T49" i="13" s="1"/>
  <c r="A48" i="13"/>
  <c r="T48" i="13" s="1"/>
  <c r="A47" i="13"/>
  <c r="T47" i="13" s="1"/>
  <c r="A46" i="13"/>
  <c r="T46" i="13" s="1"/>
  <c r="A45" i="13"/>
  <c r="T45" i="13" s="1"/>
  <c r="A44" i="13"/>
  <c r="T44" i="13" s="1"/>
  <c r="A43" i="13"/>
  <c r="T43" i="13" s="1"/>
  <c r="A42" i="13"/>
  <c r="T42" i="13" s="1"/>
  <c r="A41" i="13"/>
  <c r="T41" i="13" s="1"/>
  <c r="A40" i="13"/>
  <c r="A39" i="13"/>
  <c r="A38" i="13"/>
  <c r="A37" i="13"/>
  <c r="A36" i="13"/>
  <c r="A35" i="13"/>
  <c r="A34" i="13"/>
  <c r="A33" i="13"/>
  <c r="A32" i="13"/>
  <c r="A9" i="13"/>
  <c r="A8" i="13"/>
  <c r="A7" i="13"/>
  <c r="N106" i="13"/>
  <c r="N105" i="13"/>
  <c r="N104" i="13"/>
  <c r="N103" i="13"/>
  <c r="N102" i="13"/>
  <c r="N101" i="13"/>
  <c r="N100" i="13"/>
  <c r="N99" i="13"/>
  <c r="N98" i="13"/>
  <c r="N97" i="13"/>
  <c r="N96" i="13"/>
  <c r="N95" i="13"/>
  <c r="N94" i="13"/>
  <c r="N93" i="13"/>
  <c r="N92" i="13"/>
  <c r="N91" i="13"/>
  <c r="N90" i="13"/>
  <c r="N89" i="13"/>
  <c r="N88" i="13"/>
  <c r="N87" i="13"/>
  <c r="N86" i="13"/>
  <c r="N85" i="13"/>
  <c r="N84" i="13"/>
  <c r="N83" i="13"/>
  <c r="N82" i="13"/>
  <c r="N81" i="13"/>
  <c r="N80" i="13"/>
  <c r="N79" i="13"/>
  <c r="N78" i="13"/>
  <c r="N77" i="13"/>
  <c r="N76" i="13"/>
  <c r="N75" i="13"/>
  <c r="N74" i="13"/>
  <c r="N73" i="13"/>
  <c r="N72" i="13"/>
  <c r="N71" i="13"/>
  <c r="N70" i="13"/>
  <c r="N69" i="13"/>
  <c r="N68" i="13"/>
  <c r="N67" i="13"/>
  <c r="N66" i="13"/>
  <c r="N65" i="13"/>
  <c r="N64" i="13"/>
  <c r="N63" i="13"/>
  <c r="N62" i="13"/>
  <c r="N61" i="13"/>
  <c r="N60" i="13"/>
  <c r="N59" i="13"/>
  <c r="N58" i="13"/>
  <c r="N57" i="13"/>
  <c r="N56" i="13"/>
  <c r="N55" i="13"/>
  <c r="N54" i="13"/>
  <c r="N53" i="13"/>
  <c r="N52" i="13"/>
  <c r="N51" i="13"/>
  <c r="N50" i="13"/>
  <c r="N49" i="13"/>
  <c r="N48" i="13"/>
  <c r="N47" i="13"/>
  <c r="N46" i="13"/>
  <c r="N45" i="13"/>
  <c r="N44" i="13"/>
  <c r="N43" i="13"/>
  <c r="N42" i="13"/>
  <c r="N41" i="13"/>
  <c r="N40" i="13"/>
  <c r="N39" i="13"/>
  <c r="N38" i="13"/>
  <c r="N37" i="13"/>
  <c r="N36" i="13"/>
  <c r="N35" i="13"/>
  <c r="N34" i="13"/>
  <c r="N33" i="13"/>
  <c r="N32" i="13"/>
  <c r="L12" i="13"/>
  <c r="N9" i="13"/>
  <c r="N8" i="13"/>
  <c r="I15" i="8"/>
  <c r="T105" i="13"/>
  <c r="T104" i="13"/>
  <c r="L106" i="13"/>
  <c r="L105" i="13"/>
  <c r="L104" i="13"/>
  <c r="L103" i="13"/>
  <c r="L102" i="13"/>
  <c r="L101" i="13"/>
  <c r="L100" i="13"/>
  <c r="L99" i="13"/>
  <c r="L98" i="13"/>
  <c r="L97" i="13"/>
  <c r="L96" i="13"/>
  <c r="L95" i="13"/>
  <c r="L94" i="13"/>
  <c r="L93" i="13"/>
  <c r="L92" i="13"/>
  <c r="L91" i="13"/>
  <c r="L90" i="13"/>
  <c r="L89" i="13"/>
  <c r="L88" i="13"/>
  <c r="L87" i="13"/>
  <c r="L86" i="13"/>
  <c r="L85" i="13"/>
  <c r="L84" i="13"/>
  <c r="L83" i="13"/>
  <c r="L82" i="13"/>
  <c r="L81" i="13"/>
  <c r="L80" i="13"/>
  <c r="L79" i="13"/>
  <c r="L78" i="13"/>
  <c r="L77" i="13"/>
  <c r="L76" i="13"/>
  <c r="L75" i="13"/>
  <c r="L74" i="13"/>
  <c r="L73" i="13"/>
  <c r="L72" i="13"/>
  <c r="L71" i="13"/>
  <c r="L70" i="13"/>
  <c r="L69" i="13"/>
  <c r="L68" i="13"/>
  <c r="L67" i="13"/>
  <c r="L66" i="13"/>
  <c r="L65" i="13"/>
  <c r="L64" i="13"/>
  <c r="L63" i="13"/>
  <c r="L62" i="13"/>
  <c r="L61" i="13"/>
  <c r="L60" i="13"/>
  <c r="L59" i="13"/>
  <c r="L58" i="13"/>
  <c r="L57" i="13"/>
  <c r="L56" i="13"/>
  <c r="L55" i="13"/>
  <c r="L54" i="13"/>
  <c r="L53" i="13"/>
  <c r="L52" i="13"/>
  <c r="L51" i="13"/>
  <c r="L50" i="13"/>
  <c r="L49" i="13"/>
  <c r="L48" i="13"/>
  <c r="L47" i="13"/>
  <c r="L46" i="13"/>
  <c r="L45" i="13"/>
  <c r="L44" i="13"/>
  <c r="L43" i="13"/>
  <c r="L42" i="13"/>
  <c r="L41" i="13"/>
  <c r="L40" i="13"/>
  <c r="L39" i="13"/>
  <c r="L38" i="13"/>
  <c r="L37" i="13"/>
  <c r="L36" i="13"/>
  <c r="L35" i="13"/>
  <c r="L34" i="13"/>
  <c r="L33" i="13"/>
  <c r="L32" i="13"/>
  <c r="L31" i="13"/>
  <c r="L30" i="13"/>
  <c r="L29" i="13"/>
  <c r="L28" i="13"/>
  <c r="L27" i="13"/>
  <c r="L26" i="13"/>
  <c r="L25" i="13"/>
  <c r="L24" i="13"/>
  <c r="L23" i="13"/>
  <c r="L22" i="13"/>
  <c r="L21" i="13"/>
  <c r="L20" i="13"/>
  <c r="L19" i="13"/>
  <c r="L18" i="13"/>
  <c r="L17" i="13"/>
  <c r="L16" i="13"/>
  <c r="L15" i="13"/>
  <c r="L14" i="13"/>
  <c r="L13" i="13"/>
  <c r="I14" i="4"/>
  <c r="I18" i="5" s="1"/>
  <c r="L11" i="13"/>
  <c r="L10" i="13"/>
  <c r="L9" i="13"/>
  <c r="L8" i="13"/>
  <c r="I12" i="4"/>
  <c r="I16" i="5" s="1"/>
  <c r="I27" i="5"/>
  <c r="B1" i="12"/>
  <c r="A1" i="13"/>
  <c r="B7" i="13"/>
  <c r="B8" i="13" s="1"/>
  <c r="B9" i="13" s="1"/>
  <c r="B10" i="13" s="1"/>
  <c r="B11" i="13" s="1"/>
  <c r="B12" i="13" s="1"/>
  <c r="B13" i="13" s="1"/>
  <c r="B14" i="13" s="1"/>
  <c r="B15" i="13" s="1"/>
  <c r="B16" i="13" s="1"/>
  <c r="B17" i="13" s="1"/>
  <c r="B18" i="13" s="1"/>
  <c r="B19" i="13" s="1"/>
  <c r="B20" i="13" s="1"/>
  <c r="B21" i="13" s="1"/>
  <c r="B22" i="13" s="1"/>
  <c r="B23" i="13" s="1"/>
  <c r="B24" i="13" s="1"/>
  <c r="B25" i="13" s="1"/>
  <c r="B26" i="13" s="1"/>
  <c r="B27" i="13" s="1"/>
  <c r="B28" i="13" s="1"/>
  <c r="B29" i="13" s="1"/>
  <c r="B30" i="13" s="1"/>
  <c r="B31" i="13" s="1"/>
  <c r="B32" i="13" s="1"/>
  <c r="B33" i="13" s="1"/>
  <c r="B34" i="13" s="1"/>
  <c r="B35" i="13" s="1"/>
  <c r="B36" i="13" s="1"/>
  <c r="B37" i="13" s="1"/>
  <c r="B38" i="13" s="1"/>
  <c r="B39" i="13" s="1"/>
  <c r="B40" i="13" s="1"/>
  <c r="B41" i="13" s="1"/>
  <c r="B42" i="13" s="1"/>
  <c r="B43" i="13" s="1"/>
  <c r="B44" i="13" s="1"/>
  <c r="B45" i="13" s="1"/>
  <c r="B46" i="13" s="1"/>
  <c r="B47" i="13" s="1"/>
  <c r="B48" i="13" s="1"/>
  <c r="B49" i="13" s="1"/>
  <c r="B50" i="13" s="1"/>
  <c r="B51" i="13" s="1"/>
  <c r="B52" i="13" s="1"/>
  <c r="B53" i="13" s="1"/>
  <c r="B54" i="13" s="1"/>
  <c r="B55" i="13" s="1"/>
  <c r="B56" i="13" s="1"/>
  <c r="B57" i="13" s="1"/>
  <c r="B58" i="13" s="1"/>
  <c r="B59" i="13" s="1"/>
  <c r="B60" i="13" s="1"/>
  <c r="B61" i="13" s="1"/>
  <c r="B62" i="13" s="1"/>
  <c r="B63" i="13" s="1"/>
  <c r="B64" i="13" s="1"/>
  <c r="B65" i="13" s="1"/>
  <c r="B66" i="13" s="1"/>
  <c r="B67" i="13" s="1"/>
  <c r="B68" i="13" s="1"/>
  <c r="B69" i="13" s="1"/>
  <c r="B70" i="13" s="1"/>
  <c r="B71" i="13" s="1"/>
  <c r="B72" i="13" s="1"/>
  <c r="B73" i="13" s="1"/>
  <c r="B74" i="13" s="1"/>
  <c r="B75" i="13" s="1"/>
  <c r="B76" i="13" s="1"/>
  <c r="B77" i="13" s="1"/>
  <c r="B78" i="13" s="1"/>
  <c r="B79" i="13" s="1"/>
  <c r="B80" i="13" s="1"/>
  <c r="B81" i="13" s="1"/>
  <c r="B82" i="13" s="1"/>
  <c r="B83" i="13" s="1"/>
  <c r="B84" i="13" s="1"/>
  <c r="B85" i="13" s="1"/>
  <c r="B86" i="13" s="1"/>
  <c r="B87" i="13" s="1"/>
  <c r="B88" i="13" s="1"/>
  <c r="B89" i="13" s="1"/>
  <c r="B90" i="13" s="1"/>
  <c r="B91" i="13" s="1"/>
  <c r="B92" i="13" s="1"/>
  <c r="B93" i="13" s="1"/>
  <c r="B94" i="13" s="1"/>
  <c r="B95" i="13" s="1"/>
  <c r="B96" i="13" s="1"/>
  <c r="B97" i="13" s="1"/>
  <c r="B98" i="13" s="1"/>
  <c r="B99" i="13" s="1"/>
  <c r="B100" i="13" s="1"/>
  <c r="B101" i="13" s="1"/>
  <c r="B102" i="13" s="1"/>
  <c r="B103" i="13" s="1"/>
  <c r="B104" i="13" s="1"/>
  <c r="B105" i="13" s="1"/>
  <c r="B106" i="13" s="1"/>
  <c r="N10" i="13" l="1"/>
  <c r="A10" i="13"/>
  <c r="T30" i="16"/>
  <c r="D3" i="16"/>
  <c r="B9" i="16"/>
  <c r="B10" i="16" s="1"/>
  <c r="T37" i="13"/>
  <c r="T40" i="13"/>
  <c r="T39" i="13"/>
  <c r="T38" i="13"/>
  <c r="T33" i="13"/>
  <c r="T32" i="13"/>
  <c r="T34" i="13"/>
  <c r="I23" i="8"/>
  <c r="T7" i="16" s="1"/>
  <c r="L41" i="12"/>
  <c r="I22" i="4" s="1"/>
  <c r="I16" i="4"/>
  <c r="I20" i="5" s="1"/>
  <c r="I5" i="10"/>
  <c r="I5" i="8"/>
  <c r="H27" i="5"/>
  <c r="I28" i="5"/>
  <c r="I29" i="5"/>
  <c r="I25" i="5"/>
  <c r="E41" i="12"/>
  <c r="I21" i="4" s="1"/>
  <c r="I17" i="4"/>
  <c r="I21" i="5" s="1"/>
  <c r="I10" i="4"/>
  <c r="I13" i="5" s="1"/>
  <c r="J19" i="12"/>
  <c r="H19" i="12" s="1"/>
  <c r="I4" i="11"/>
  <c r="I4" i="10"/>
  <c r="I4" i="8"/>
  <c r="I4" i="5"/>
  <c r="A13" i="11"/>
  <c r="H10" i="11"/>
  <c r="H9" i="11"/>
  <c r="H8" i="11"/>
  <c r="H7" i="11"/>
  <c r="H6" i="11"/>
  <c r="H5" i="11"/>
  <c r="H4" i="11"/>
  <c r="H12" i="10"/>
  <c r="H11" i="10"/>
  <c r="H10" i="10"/>
  <c r="H9" i="10"/>
  <c r="H8" i="10"/>
  <c r="H7" i="10"/>
  <c r="H6" i="10"/>
  <c r="H5" i="10"/>
  <c r="A15" i="10"/>
  <c r="H4" i="10"/>
  <c r="H32" i="8"/>
  <c r="H31" i="8"/>
  <c r="H30" i="8"/>
  <c r="H29" i="8"/>
  <c r="H28" i="8"/>
  <c r="H27" i="8"/>
  <c r="H26" i="8"/>
  <c r="H25" i="8"/>
  <c r="H24" i="8"/>
  <c r="H23" i="8"/>
  <c r="H22" i="8"/>
  <c r="H21" i="8"/>
  <c r="H20" i="8"/>
  <c r="H19" i="8"/>
  <c r="H18" i="8"/>
  <c r="H17" i="8"/>
  <c r="H16" i="8"/>
  <c r="H15" i="8"/>
  <c r="H14" i="8"/>
  <c r="H13" i="8"/>
  <c r="H12" i="8"/>
  <c r="H11" i="8"/>
  <c r="H10" i="8"/>
  <c r="H9" i="8"/>
  <c r="H8" i="8"/>
  <c r="H7" i="8"/>
  <c r="H6" i="8"/>
  <c r="H5" i="8"/>
  <c r="A35" i="8"/>
  <c r="H4" i="8"/>
  <c r="H31" i="5"/>
  <c r="H30" i="5"/>
  <c r="H29" i="5"/>
  <c r="H28" i="5"/>
  <c r="H26" i="5"/>
  <c r="H25" i="5"/>
  <c r="H24" i="5"/>
  <c r="H23" i="5"/>
  <c r="H22" i="5"/>
  <c r="H21" i="5"/>
  <c r="H20" i="5"/>
  <c r="H19" i="5"/>
  <c r="H18" i="5"/>
  <c r="H17" i="5"/>
  <c r="H16" i="5"/>
  <c r="H15" i="5"/>
  <c r="H14" i="5"/>
  <c r="H13" i="5"/>
  <c r="H12" i="5"/>
  <c r="H11" i="5"/>
  <c r="H10" i="5"/>
  <c r="H9" i="5"/>
  <c r="H8" i="5"/>
  <c r="H7" i="5"/>
  <c r="A34" i="5"/>
  <c r="H6" i="5"/>
  <c r="H5" i="5"/>
  <c r="H4" i="5"/>
  <c r="A28" i="4"/>
  <c r="H25" i="4"/>
  <c r="H24" i="4"/>
  <c r="H23" i="4"/>
  <c r="H22" i="4"/>
  <c r="H21" i="4"/>
  <c r="H20" i="4"/>
  <c r="H19" i="4"/>
  <c r="H18" i="4"/>
  <c r="H17" i="4"/>
  <c r="H16" i="4"/>
  <c r="H15" i="4"/>
  <c r="H14" i="4"/>
  <c r="H13" i="4"/>
  <c r="H12" i="4"/>
  <c r="H11" i="4"/>
  <c r="H10" i="4"/>
  <c r="H9" i="4"/>
  <c r="H8" i="4"/>
  <c r="H7" i="4"/>
  <c r="H6" i="4"/>
  <c r="H5" i="4"/>
  <c r="H4" i="4"/>
  <c r="B34" i="8" l="1"/>
  <c r="T9" i="13"/>
  <c r="T10" i="13"/>
  <c r="T7" i="13"/>
  <c r="T8" i="16"/>
  <c r="T8" i="13"/>
  <c r="N11" i="13"/>
  <c r="A11" i="13"/>
  <c r="T9" i="16"/>
  <c r="T10" i="16"/>
  <c r="B11" i="16"/>
  <c r="T35" i="13"/>
  <c r="T36" i="13"/>
  <c r="A34" i="8"/>
  <c r="B27" i="4"/>
  <c r="B33" i="5"/>
  <c r="T11" i="13" l="1"/>
  <c r="A12" i="13"/>
  <c r="N12" i="13"/>
  <c r="B12" i="16"/>
  <c r="T11" i="16"/>
  <c r="A33" i="5"/>
  <c r="A35" i="5"/>
  <c r="A27" i="4"/>
  <c r="A13" i="13" l="1"/>
  <c r="N13" i="13"/>
  <c r="T12" i="13"/>
  <c r="T12" i="16"/>
  <c r="B13" i="16"/>
  <c r="T13" i="13" l="1"/>
  <c r="A14" i="13"/>
  <c r="N14" i="13"/>
  <c r="B14" i="16"/>
  <c r="T13" i="16"/>
  <c r="T14" i="13" l="1"/>
  <c r="A15" i="13"/>
  <c r="N15" i="13"/>
  <c r="T14" i="16"/>
  <c r="B15" i="16"/>
  <c r="T15" i="13" l="1"/>
  <c r="A16" i="13"/>
  <c r="N16" i="13"/>
  <c r="B16" i="16"/>
  <c r="T15" i="16"/>
  <c r="A17" i="13" l="1"/>
  <c r="N17" i="13"/>
  <c r="T16" i="13"/>
  <c r="T16" i="16"/>
  <c r="B17" i="16"/>
  <c r="T17" i="13" l="1"/>
  <c r="N18" i="13"/>
  <c r="A18" i="13"/>
  <c r="B18" i="16"/>
  <c r="T17" i="16"/>
  <c r="T18" i="13" l="1"/>
  <c r="A19" i="13"/>
  <c r="N19" i="13"/>
  <c r="T18" i="16"/>
  <c r="B19" i="16"/>
  <c r="T19" i="13" l="1"/>
  <c r="A20" i="13"/>
  <c r="N20" i="13"/>
  <c r="B20" i="16"/>
  <c r="T19" i="16"/>
  <c r="T20" i="13" l="1"/>
  <c r="A21" i="13"/>
  <c r="N21" i="13"/>
  <c r="T20" i="16"/>
  <c r="B21" i="16"/>
  <c r="T21" i="13" l="1"/>
  <c r="A22" i="13"/>
  <c r="N22" i="13"/>
  <c r="B22" i="16"/>
  <c r="T21" i="16"/>
  <c r="T22" i="13" l="1"/>
  <c r="A23" i="13"/>
  <c r="N23" i="13"/>
  <c r="T22" i="16"/>
  <c r="B23" i="16"/>
  <c r="T23" i="13" l="1"/>
  <c r="A24" i="13"/>
  <c r="N24" i="13"/>
  <c r="B24" i="16"/>
  <c r="T23" i="16"/>
  <c r="T24" i="13" l="1"/>
  <c r="A25" i="13"/>
  <c r="N25" i="13"/>
  <c r="B25" i="16"/>
  <c r="T24" i="16"/>
  <c r="T25" i="13" l="1"/>
  <c r="A26" i="13"/>
  <c r="N26" i="13"/>
  <c r="B26" i="16"/>
  <c r="T25" i="16"/>
  <c r="T26" i="13" l="1"/>
  <c r="A27" i="13"/>
  <c r="N27" i="13"/>
  <c r="B27" i="16"/>
  <c r="B28" i="16" s="1"/>
  <c r="B29" i="16" s="1"/>
  <c r="T26" i="16"/>
  <c r="B30" i="16" l="1"/>
  <c r="B31" i="16" s="1"/>
  <c r="T29" i="16"/>
  <c r="T27" i="13"/>
  <c r="A28" i="13"/>
  <c r="N28" i="13"/>
  <c r="B32" i="16"/>
  <c r="T31" i="16"/>
  <c r="T28" i="13" l="1"/>
  <c r="A29" i="13"/>
  <c r="N29" i="13"/>
  <c r="B33" i="16"/>
  <c r="T32" i="16"/>
  <c r="T29" i="13" l="1"/>
  <c r="A30" i="13"/>
  <c r="N30" i="13"/>
  <c r="B34" i="16"/>
  <c r="T33" i="16"/>
  <c r="T30" i="13" l="1"/>
  <c r="A31" i="13"/>
  <c r="N31" i="13"/>
  <c r="E3" i="13"/>
  <c r="I9" i="10" s="1"/>
  <c r="B35" i="16"/>
  <c r="B36" i="16" s="1"/>
  <c r="B37" i="16" s="1"/>
  <c r="B38" i="16" s="1"/>
  <c r="B39" i="16" s="1"/>
  <c r="T34" i="16"/>
  <c r="T31" i="13" l="1"/>
  <c r="D3" i="13"/>
  <c r="I8" i="10" s="1"/>
  <c r="B40" i="16"/>
  <c r="T39" i="16"/>
  <c r="I9" i="11" l="1"/>
  <c r="B12" i="11" s="1"/>
  <c r="A12" i="11" s="1"/>
  <c r="B14" i="10"/>
  <c r="A14" i="10"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tc={E2DC0132-D1F5-4A82-883E-DFB5AA4ABE10}</author>
    <author>tc={8AD1DC22-6DC2-421A-BACD-B4EAAC15C68A}</author>
    <author>tc={FBC55F6C-1913-4082-848D-CF61907D5D3F}</author>
    <author>tc={432E52DF-290F-4774-8034-840ED26DF689}</author>
  </authors>
  <commentList>
    <comment ref="I16" authorId="0" shapeId="0" xr:uid="{E2DC0132-D1F5-4A82-883E-DFB5AA4ABE10}">
      <text>
        <t>[Comentário encadeado]
Sua versão do Excel permite que você leia este comentário encadeado, no entanto, as edições serão removidas se o arquivo for aberto em uma versão mais recente do Excel. Saiba mais: https://go.microsoft.com/fwlink/?linkid=870924
Comentário:
    DAC É O DÍGITO DA CONTA</t>
      </text>
    </comment>
    <comment ref="I21" authorId="1" shapeId="0" xr:uid="{8AD1DC22-6DC2-421A-BACD-B4EAAC15C68A}">
      <text>
        <t>[Comentário encadeado]
Sua versão do Excel permite que você leia este comentário encadeado, no entanto, as edições serão removidas se o arquivo for aberto em uma versão mais recente do Excel. Saiba mais: https://go.microsoft.com/fwlink/?linkid=870924
Comentário:
    INSERIR FORMULA PARA PEGAR DATA ATUAL E APLICAR O FORMATO ESPECIFICADO</t>
      </text>
    </comment>
    <comment ref="I22" authorId="2" shapeId="0" xr:uid="{FBC55F6C-1913-4082-848D-CF61907D5D3F}">
      <text>
        <t>[Comentário encadeado]
Sua versão do Excel permite que você leia este comentário encadeado, no entanto, as edições serão removidas se o arquivo for aberto em uma versão mais recente do Excel. Saiba mais: https://go.microsoft.com/fwlink/?linkid=870924
Comentário:
    INSERIR FORMULA PARA PEGAR HORA ATUAL E APLICAR O FORMATO ESPECIFICADO</t>
      </text>
    </comment>
    <comment ref="I24" authorId="3" shapeId="0" xr:uid="{432E52DF-290F-4774-8034-840ED26DF689}">
      <text>
        <t xml:space="preserve">[Comentário encadeado]
Sua versão do Excel permite que você leia este comentário encadeado, no entanto, as edições serão removidas se o arquivo for aberto em uma versão mais recente do Excel. Saiba mais: https://go.microsoft.com/fwlink/?linkid=870924
Comentário:
    Para teleprocessamento esse campo deverá conter zeros. </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tc={AC1B00EC-3AF0-47C1-81A1-F40D56A2EB72}</author>
    <author>tc={50116378-811E-40D3-8BAE-399D3C20BB70}</author>
    <author>tc={BD68F5FE-A38D-478A-A26F-72051EDD8EB5}</author>
    <author>tc={E7DF380A-3D63-4C5E-B4F5-7B6692D61DBA}</author>
    <author>tc={13250E9F-20F9-48E0-824C-8D71F767D75E}</author>
    <author>tc={97ABCFF8-7EE8-41F5-8198-EA8201903482}</author>
  </authors>
  <commentList>
    <comment ref="I5" authorId="0" shapeId="0" xr:uid="{AC1B00EC-3AF0-47C1-81A1-F40D56A2EB72}">
      <text>
        <t xml:space="preserve">[Comentário encadeado]
Sua versão do Excel permite que você leia este comentário encadeado, no entanto, as edições serão removidas se o arquivo for aberto em uma versão mais recente do Excel. Saiba mais: https://go.microsoft.com/fwlink/?linkid=870924
Comentário:
    CÓDIGO DO LOTE 
Identifica o Lote de Pagamentos. 
É SEQUENCIAL, iniciando-se em 0001. Todos os pagamentos de um lote devem ter o mesmo "Código de Lote". </t>
      </text>
    </comment>
    <comment ref="I8" authorId="1" shapeId="0" xr:uid="{50116378-811E-40D3-8BAE-399D3C20BB70}">
      <text>
        <t xml:space="preserve">[Comentário encadeado]
Sua versão do Excel permite que você leia este comentário encadeado, no entanto, as edições serão removidas se o arquivo for aberto em uma versão mais recente do Excel. Saiba mais: https://go.microsoft.com/fwlink/?linkid=870924
Comentário:
    10  DIVIDENDOS 
15  DEBÊNTURES 
20  FORNECEDORES 
22  TRIBUTOS 
30  SALÁRIOS 
40  FUNDOS DE INVESTIMENTOS 
50  SINISTROS DE SEGUROS 
60  DESPESAS VIAJANTE EM TRÂNSITO 
80  REPRESENTANTES AUTORIZADOS 
90  BENEFÍCIOS 
98  DIVERSOS 
</t>
      </text>
    </comment>
    <comment ref="I9" authorId="2" shapeId="0" xr:uid="{BD68F5FE-A38D-478A-A26F-72051EDD8EB5}">
      <text>
        <t xml:space="preserve">[Comentário encadeado]
Sua versão do Excel permite que você leia este comentário encadeado, no entanto, as edições serão removidas se o arquivo for aberto em uma versão mais recente do Excel. Saiba mais: https://go.microsoft.com/fwlink/?linkid=870924
Comentário:
    01 CRÉDITO EM CONTA CORRENTE NO ITAÚ 
02 CHEQUE PAGAMENTO/ADMINISTRATIVO 
03 DOC “C” 
05 CRÉDITO EM CONTA POUPANÇA NO ITAÚ 
06 CRÉDITO EM CONTA CORRENTE DE MESMA TITULARIDADE 
07 DOC “D” 
10 ORDEM DE PAGAMENTO À DISPOSIÇÃO 
13 PAGAMENTO DE CONCESSIONÁRIAS 
16 DARF NORMAL 
17 GPS - GUIA DA PREVIDÊNCIA SOCIAL 
18 DARF SIMPLES 
19 IPTU/ISS/OUTROS TRIBUTOS MUNICIPAIS 
22 GARE – SP ICMS 
25 IPVA 
27 DPVAT 
30 PAGAMENTO DE TÍTULOS EM COBRANÇA NO ITAÚ 
31 PAGAMENTO DE TÍTULOS EM COBRANÇA EM OUTROS BANCOS 
32 NOTA FISCAL – LIQUIDAÇÃO ELETRÔNICA 
35 FGTS 
41 TED – OUTRO TITULAR 
43 TED – MESMO TITULAR </t>
      </text>
    </comment>
    <comment ref="I14" authorId="3" shapeId="0" xr:uid="{E7DF380A-3D63-4C5E-B4F5-7B6692D61DBA}">
      <text>
        <t xml:space="preserve">[Comentário encadeado]
Sua versão do Excel permite que você leia este comentário encadeado, no entanto, as edições serão removidas se o arquivo for aberto em uma versão mais recente do Excel. Saiba mais: https://go.microsoft.com/fwlink/?linkid=870924
Comentário:
    Não tendo sido acertado a sua utilização este campo deverá ser preenchido com brancos </t>
      </text>
    </comment>
    <comment ref="I22" authorId="4" shapeId="0" xr:uid="{13250E9F-20F9-48E0-824C-8D71F767D75E}">
      <text>
        <t xml:space="preserve">[Comentário encadeado]
Sua versão do Excel permite que você leia este comentário encadeado, no entanto, as edições serão removidas se o arquivo for aberto em uma versão mais recente do Excel. Saiba mais: https://go.microsoft.com/fwlink/?linkid=870924
Comentário:
    Não tendo sido acertada a sua utilização, este campo deverá ser obrigatoriamente preenchido com brancos. </t>
      </text>
    </comment>
    <comment ref="I23" authorId="5" shapeId="0" xr:uid="{97ABCFF8-7EE8-41F5-8198-EA8201903482}">
      <text>
        <t xml:space="preserve">[Comentário encadeado]
Sua versão do Excel permite que você leia este comentário encadeado, no entanto, as edições serão removidas se o arquivo for aberto em uma versão mais recente do Excel. Saiba mais: https://go.microsoft.com/fwlink/?linkid=870924
Comentário:
    Não tendo sido acertada a sua utilização, este campo deverá ser obrigatoriamente preenchido com brancos. </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tc={DAFF1F75-D9D0-4164-B5D9-23B875BA3B6B}</author>
    <author>tc={96B70D70-21AB-4708-B780-7612BBC99D8E}</author>
    <author>tc={86382561-7B84-4C22-9438-A24349B1D43F}</author>
    <author>tc={2259E613-CCF8-4EF7-8434-C4D18F419925}</author>
    <author>tc={D969636B-7959-4A1F-86E4-808835F164F6}</author>
    <author>tc={93EB0475-F687-49E1-9FDF-EF07EF48CE7A}</author>
    <author>tc={E127F2A2-B60E-4104-B4E3-51A2BE41FA6B}</author>
    <author>tc={3F325B07-23F1-45A7-85A0-037AB497C5EF}</author>
    <author>tc={B1EC79BF-F4D7-4C98-9F20-A7746D4AD2B6}</author>
    <author>tc={534A9616-2E70-484D-8B6F-34E5FA06D6F5}</author>
  </authors>
  <commentList>
    <comment ref="I7" authorId="0" shapeId="0" xr:uid="{DAFF1F75-D9D0-4164-B5D9-23B875BA3B6B}">
      <text>
        <t>[Comentário encadeado]
Sua versão do Excel permite que você leia este comentário encadeado, no entanto, as edições serão removidas se o arquivo for aberto em uma versão mais recente do Excel. Saiba mais: https://go.microsoft.com/fwlink/?linkid=870924
Comentário:
    Número sequencial de cada lançamento</t>
      </text>
    </comment>
    <comment ref="I9" authorId="1" shapeId="0" xr:uid="{96B70D70-21AB-4708-B780-7612BBC99D8E}">
      <text>
        <t xml:space="preserve">[Comentário encadeado]
Sua versão do Excel permite que você leia este comentário encadeado, no entanto, as edições serão removidas se o arquivo for aberto em uma versão mais recente do Excel. Saiba mais: https://go.microsoft.com/fwlink/?linkid=870924
Comentário:
    000 	Inclusão de pagamento 
</t>
      </text>
    </comment>
    <comment ref="I10" authorId="2" shapeId="0" xr:uid="{86382561-7B84-4C22-9438-A24349B1D43F}">
      <text>
        <t xml:space="preserve">[Comentário encadeado]
Sua versão do Excel permite que você leia este comentário encadeado, no entanto, as edições serão removidas se o arquivo for aberto em uma versão mais recente do Excel. Saiba mais: https://go.microsoft.com/fwlink/?linkid=870924
Comentário:
    “009” – PIX (SPI)
Para pagamento através de PIX Transferência deve ser informado no segmento ‘A’ (posição 18 a 20) </t>
      </text>
    </comment>
    <comment ref="I18" authorId="3" shapeId="0" xr:uid="{2259E613-CCF8-4EF7-8434-C4D18F419925}">
      <text>
        <t xml:space="preserve">[Comentário encadeado]
Sua versão do Excel permite que você leia este comentário encadeado, no entanto, as edições serão removidas se o arquivo for aberto em uma versão mais recente do Excel. Saiba mais: https://go.microsoft.com/fwlink/?linkid=870924
Comentário:
    01  Conta corrente 
PG Conta Pagamento 
03  Conta Poupança 
04  Chave Pix 
IDENTIFICAÇÃO DO TIPO DE TRANSFERÊNCIA 
Quando se tratar de uma transferência via PIX (“Código de Compensação 009”), deve ser informado nas posições 113 a 114 o tipo de transferência: 
</t>
      </text>
    </comment>
    <comment ref="I21" authorId="4" shapeId="0" xr:uid="{D969636B-7959-4A1F-86E4-808835F164F6}">
      <text>
        <t xml:space="preserve">[Comentário encadeado]
Sua versão do Excel permite que você leia este comentário encadeado, no entanto, as edições serão removidas se o arquivo for aberto em uma versão mais recente do Excel. Saiba mais: https://go.microsoft.com/fwlink/?linkid=870924
Comentário:
    Na inclusão de um novo pagamento, deve ser preenchido com brancos. </t>
      </text>
    </comment>
    <comment ref="I25" authorId="5" shapeId="0" xr:uid="{93EB0475-F687-49E1-9FDF-EF07EF48CE7A}">
      <text>
        <t xml:space="preserve">[Comentário encadeado]
Sua versão do Excel permite que você leia este comentário encadeado, no entanto, as edições serão removidas se o arquivo for aberto em uma versão mais recente do Excel. Saiba mais: https://go.microsoft.com/fwlink/?linkid=870924
Comentário:
    Não tendo sido acertado a sua utilização este campo deverá ser preenchido com brancos. </t>
      </text>
    </comment>
    <comment ref="I26" authorId="6" shapeId="0" xr:uid="{E127F2A2-B60E-4104-B4E3-51A2BE41FA6B}">
      <text>
        <t xml:space="preserve">[Comentário encadeado]
Sua versão do Excel permite que você leia este comentário encadeado, no entanto, as edições serão removidas se o arquivo for aberto em uma versão mais recente do Excel. Saiba mais: https://go.microsoft.com/fwlink/?linkid=870924
Comentário:
    O número do documento é atribuído no agendamento / efetivação do pagamento e informado no arquivo retorno. </t>
      </text>
    </comment>
    <comment ref="I28" authorId="7" shapeId="0" xr:uid="{3F325B07-23F1-45A7-85A0-037AB497C5EF}">
      <text>
        <t>[Comentário encadeado]
Sua versão do Excel permite que você leia este comentário encadeado, no entanto, as edições serão removidas se o arquivo for aberto em uma versão mais recente do Excel. Saiba mais: https://go.microsoft.com/fwlink/?linkid=870924
Comentário:
    EXCLUSIVO PARA DOC</t>
      </text>
    </comment>
    <comment ref="I29" authorId="8" shapeId="0" xr:uid="{B1EC79BF-F4D7-4C98-9F20-A7746D4AD2B6}">
      <text>
        <t xml:space="preserve">[Comentário encadeado]
Sua versão do Excel permite que você leia este comentário encadeado, no entanto, as edições serão removidas se o arquivo for aberto em uma versão mais recente do Excel. Saiba mais: https://go.microsoft.com/fwlink/?linkid=870924
Comentário:
    Caso o campo não seja preenchido ou não apresente um conteúdo válido, será assumido o código “00010 – Crédito em Conta Corrente ou Conta Poupança”. </t>
      </text>
    </comment>
    <comment ref="I31" authorId="9" shapeId="0" xr:uid="{534A9616-2E70-484D-8B6F-34E5FA06D6F5}">
      <text>
        <t xml:space="preserve">[Comentário encadeado]
Sua versão do Excel permite que você leia este comentário encadeado, no entanto, as edições serão removidas se o arquivo for aberto em uma versão mais recente do Excel. Saiba mais: https://go.microsoft.com/fwlink/?linkid=870924
Comentário:
    Se igual a ‘0’ não emite aviso ao favorecido </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tc={E5BCEA96-5DFE-4DE1-9AC6-4EA13558FA97}</author>
  </authors>
  <commentList>
    <comment ref="I8" authorId="0" shapeId="0" xr:uid="{E5BCEA96-5DFE-4DE1-9AC6-4EA13558FA97}">
      <text>
        <t>[Comentário encadeado]
Sua versão do Excel permite que você leia este comentário encadeado, no entanto, as edições serão removidas se o arquivo for aberto em uma versão mais recente do Excel. Saiba mais: https://go.microsoft.com/fwlink/?linkid=870924
Comentário:
    01 - Header
?? - Registros
01 - Trailer</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tc={F34D3B53-4C94-4D18-A631-38F9A2240E3F}</author>
  </authors>
  <commentList>
    <comment ref="I8" authorId="0" shapeId="0" xr:uid="{F34D3B53-4C94-4D18-A631-38F9A2240E3F}">
      <text>
        <t>[Comentário encadeado]
Sua versão do Excel permite que você leia este comentário encadeado, no entanto, as edições serão removidas se o arquivo for aberto em uma versão mais recente do Excel. Saiba mais: https://go.microsoft.com/fwlink/?linkid=870924
Comentário:
    NESTE CASO SERÁ GERADO APENAS UM LOTE COM A FINALIDADE DE PAGAMENTO DE SALÁRIOS, FICANDO ASSIM PADRÃO EM "1"</t>
      </text>
    </comment>
  </commentList>
</comments>
</file>

<file path=xl/sharedStrings.xml><?xml version="1.0" encoding="utf-8"?>
<sst xmlns="http://schemas.openxmlformats.org/spreadsheetml/2006/main" count="483" uniqueCount="266">
  <si>
    <t xml:space="preserve">34100011C3001040 209330294000194                    00065 000000029374 8REDE ANCORA DISTRITO FEDERAL E                                        Q QS 05 RUA 310 LOTE 16 LOJA  00001               BRASILIA            71964360DF                  </t>
  </si>
  <si>
    <t>CÓDIGO DO BANCO</t>
  </si>
  <si>
    <t>CÓDIGO DO BCO NA COMPENSAÇÃO</t>
  </si>
  <si>
    <t>9(03)</t>
  </si>
  <si>
    <t>TIPO DE REGISTRO</t>
  </si>
  <si>
    <t>REGISTRO HEADER DE ARQUIVO</t>
  </si>
  <si>
    <t>9(01)</t>
  </si>
  <si>
    <t>LAYOUT DE ARQUIVO</t>
  </si>
  <si>
    <t>INSCRIÇÃO NÚMERO</t>
  </si>
  <si>
    <t>CNPJ EMPRESA DEBITADA</t>
  </si>
  <si>
    <t>9(14)</t>
  </si>
  <si>
    <t>NOTA 1</t>
  </si>
  <si>
    <t>AGÊNCIA</t>
  </si>
  <si>
    <t>NÚMERO AGÊNCIA DEBITADA</t>
  </si>
  <si>
    <t>9(05)</t>
  </si>
  <si>
    <t>CONTA</t>
  </si>
  <si>
    <t>9(12)</t>
  </si>
  <si>
    <t>DAC</t>
  </si>
  <si>
    <t>DAC DA AGÊNCIA/CONTA DEBITADA</t>
  </si>
  <si>
    <t>NOME DO BANCO</t>
  </si>
  <si>
    <t>X(30)</t>
  </si>
  <si>
    <t>ARQUIVO-CÓDIGO</t>
  </si>
  <si>
    <t>CÓDIGO REMESSA/RETORNO</t>
  </si>
  <si>
    <t>HORA DA GERAÇÃO</t>
  </si>
  <si>
    <t>HORA DE GERAÇÃO DO ARQUIVO</t>
  </si>
  <si>
    <t>9(06)</t>
  </si>
  <si>
    <t>HHMMSS</t>
  </si>
  <si>
    <t>UNIDADE DE DENSIDADE</t>
  </si>
  <si>
    <t>DENSIDADE DE GRAVAÇÃO DO ARQUIVO</t>
  </si>
  <si>
    <t>NOTA 2</t>
  </si>
  <si>
    <t>NOME DO CAMPO</t>
  </si>
  <si>
    <t>SIGNIFICADO</t>
  </si>
  <si>
    <t>POSIÇÃO</t>
  </si>
  <si>
    <t>PICTURE</t>
  </si>
  <si>
    <t>CÓDIGO DO LOTE</t>
  </si>
  <si>
    <t>LOTE DE SERVIÇO</t>
  </si>
  <si>
    <t>9(04)</t>
  </si>
  <si>
    <t>BRANCOS</t>
  </si>
  <si>
    <t>COMPLEMENTO DE REGISTRO</t>
  </si>
  <si>
    <t>TIPO DE INSCRIÇÃO DA EMPRESA</t>
  </si>
  <si>
    <t>X(01)</t>
  </si>
  <si>
    <t>NOME DA EMPRESA</t>
  </si>
  <si>
    <t>DATA DE GERAÇÃO</t>
  </si>
  <si>
    <t>DATA DE GERAÇÃO DO ARQUIVO</t>
  </si>
  <si>
    <t>9(08)</t>
  </si>
  <si>
    <t>DDMMAAAA</t>
  </si>
  <si>
    <t>ZEROS</t>
  </si>
  <si>
    <t>9(09)</t>
  </si>
  <si>
    <t>X(69)</t>
  </si>
  <si>
    <t>EMPRESA - INSCRIÇÃO</t>
  </si>
  <si>
    <t xml:space="preserve"> CONTEÚDO</t>
  </si>
  <si>
    <t>0000</t>
  </si>
  <si>
    <t>X(06)</t>
  </si>
  <si>
    <t>Nº DA VERSÃO DO LAYOUT DO ARQUIVO</t>
  </si>
  <si>
    <t>080</t>
  </si>
  <si>
    <t>1=CPF OU 2=CNPJ</t>
  </si>
  <si>
    <t>X(20)</t>
  </si>
  <si>
    <t>NÚMERO DE C\C DEBITADA</t>
  </si>
  <si>
    <t>X(10)</t>
  </si>
  <si>
    <t>DADOS</t>
  </si>
  <si>
    <t xml:space="preserve">      </t>
  </si>
  <si>
    <t xml:space="preserve">                    </t>
  </si>
  <si>
    <t xml:space="preserve"> </t>
  </si>
  <si>
    <t xml:space="preserve">BANCO ITAU                    </t>
  </si>
  <si>
    <t xml:space="preserve">          </t>
  </si>
  <si>
    <t>000000000</t>
  </si>
  <si>
    <t xml:space="preserve">                                                                     </t>
  </si>
  <si>
    <t>00000</t>
  </si>
  <si>
    <t>CODIGO DO BANCO</t>
  </si>
  <si>
    <t>CODIGO BANCO NA COMPENSAÇAO</t>
  </si>
  <si>
    <t>LOTE IDENTIFICAÇÃO DE PAGTOS</t>
  </si>
  <si>
    <t>NOTA 3</t>
  </si>
  <si>
    <t>REGISTRO HEADER DE LOTE</t>
  </si>
  <si>
    <t>TIPO DE OPERAÇÃO</t>
  </si>
  <si>
    <t>TIPO DA OPERAÇAO</t>
  </si>
  <si>
    <t>TIPO DE PAGAMENTO</t>
  </si>
  <si>
    <t>TIPO DE PAGTO</t>
  </si>
  <si>
    <t>9(02)</t>
  </si>
  <si>
    <t>NOTA 4</t>
  </si>
  <si>
    <t>NOTA 5</t>
  </si>
  <si>
    <t>LAYOUT DO LOTE</t>
  </si>
  <si>
    <t>N' DA VERSAO DO LAYOUT DO LOTE</t>
  </si>
  <si>
    <t>EMPRESA - INSCRIÇAO</t>
  </si>
  <si>
    <t>TIPO INSCRIÇAO EMPRESA DEBITADA</t>
  </si>
  <si>
    <t>9( 14)</t>
  </si>
  <si>
    <t>IDENTIFICAÇAO DO LANÇAMENTO</t>
  </si>
  <si>
    <t>IDENTIFICAÇAO DO LANÇAMENTO NO EXTRATO DO FAVORECIDO</t>
  </si>
  <si>
    <t>NOTA 13</t>
  </si>
  <si>
    <t>X(16)</t>
  </si>
  <si>
    <t>AGENCIA</t>
  </si>
  <si>
    <t>NUMERO AGENCIA DEBITADA</t>
  </si>
  <si>
    <t>NUMERO DE CIC DEBITADA</t>
  </si>
  <si>
    <t>DAC DA AGÊNCWCONTA DEBITADA</t>
  </si>
  <si>
    <t>NOME DA EMPRESA DEBITADA</t>
  </si>
  <si>
    <t>FINALIDADE DO LOTE</t>
  </si>
  <si>
    <t>FINALIDADE DOS PAGTOS DO LOTE</t>
  </si>
  <si>
    <t>NOTA 6</t>
  </si>
  <si>
    <t>HISTORICO DE c,'C</t>
  </si>
  <si>
    <t>COMPLEMENTO HISTORICO c,'C DEBITADA</t>
  </si>
  <si>
    <t>NOTA 7</t>
  </si>
  <si>
    <t>NUMERO</t>
  </si>
  <si>
    <t>NUMERO DO LOCAL</t>
  </si>
  <si>
    <t>COMPLEMENTO.</t>
  </si>
  <si>
    <t>CASA APTO, SALA, ETC.</t>
  </si>
  <si>
    <t>X(15)</t>
  </si>
  <si>
    <t>CIDADE</t>
  </si>
  <si>
    <t>NOME DA CIDADE</t>
  </si>
  <si>
    <t>CEP</t>
  </si>
  <si>
    <t>ESTADO</t>
  </si>
  <si>
    <t>SIGLA DO ESTADO</t>
  </si>
  <si>
    <t>X(02)</t>
  </si>
  <si>
    <t>OCORRENCIAS</t>
  </si>
  <si>
    <t>CODIGO OCORRENCIAS PRETORNO</t>
  </si>
  <si>
    <t>NOTA 8</t>
  </si>
  <si>
    <t>C = CRÉDlTO</t>
  </si>
  <si>
    <t>FORMA DE PAGAMENTO</t>
  </si>
  <si>
    <t>040</t>
  </si>
  <si>
    <t>1=CPF  ou 2=CNPJ</t>
  </si>
  <si>
    <t>X(04)</t>
  </si>
  <si>
    <t>ENDEREÇO DA EMPRESA</t>
  </si>
  <si>
    <t xml:space="preserve"> NOME DA RUA, AV, PÇA ETC..</t>
  </si>
  <si>
    <t>X(08)</t>
  </si>
  <si>
    <t>C</t>
  </si>
  <si>
    <t>0001</t>
  </si>
  <si>
    <t xml:space="preserve">                </t>
  </si>
  <si>
    <t xml:space="preserve">    </t>
  </si>
  <si>
    <t xml:space="preserve">                              </t>
  </si>
  <si>
    <t>00001</t>
  </si>
  <si>
    <t xml:space="preserve">               </t>
  </si>
  <si>
    <t xml:space="preserve">        </t>
  </si>
  <si>
    <t>CODIGO BANCO NA COMPENSAÇÃO</t>
  </si>
  <si>
    <t>CODIGO DO LOTE</t>
  </si>
  <si>
    <t>REGISTRO DETALHE DE LOTE</t>
  </si>
  <si>
    <t>NÚMERO DO REGISTRO</t>
  </si>
  <si>
    <t>NO SEQUENCIAL REGISTRO NO LOTE</t>
  </si>
  <si>
    <t>NOTA 9</t>
  </si>
  <si>
    <t>SEGMENTO</t>
  </si>
  <si>
    <t>CODIGO SEGMENTO REG. DETALHE</t>
  </si>
  <si>
    <t>A</t>
  </si>
  <si>
    <t>TIPO DE MOVIMENTO</t>
  </si>
  <si>
    <t>NOTA 10</t>
  </si>
  <si>
    <t>CAMARA</t>
  </si>
  <si>
    <t>CODIGO DA CAMARA CENTRALIZADORA</t>
  </si>
  <si>
    <t>NOTA 35</t>
  </si>
  <si>
    <t>BANCO FAVORECIDO</t>
  </si>
  <si>
    <t>CÓDIGO BANCO FAVORECIDO</t>
  </si>
  <si>
    <t>AGENCIA CONTA</t>
  </si>
  <si>
    <t>AGENCIA CONTA FAVORECIDO</t>
  </si>
  <si>
    <t>NOTA 11</t>
  </si>
  <si>
    <t>NOME DO FAVORECIDO</t>
  </si>
  <si>
    <t>NOTA 34</t>
  </si>
  <si>
    <t>SEU NUMERO</t>
  </si>
  <si>
    <t>NO DOCTO ATRIBUIDO PELA EMPRESA</t>
  </si>
  <si>
    <t>DATA DE PAGTO</t>
  </si>
  <si>
    <t>DATA PREVISTA PARA PAGTO</t>
  </si>
  <si>
    <t>MOEDA - TIPO</t>
  </si>
  <si>
    <t>TIPO DA MOEDA</t>
  </si>
  <si>
    <t>X(03)</t>
  </si>
  <si>
    <t>REA OU 009</t>
  </si>
  <si>
    <t>CÓDIGO ISPB</t>
  </si>
  <si>
    <t>IDENTIFICAÇÃO DA INSTITUIÇÃO PARA O SPB</t>
  </si>
  <si>
    <t>NOTA 36</t>
  </si>
  <si>
    <t>9 (05)</t>
  </si>
  <si>
    <t>VALOR DO PAGTO</t>
  </si>
  <si>
    <t>VALOR PREVISTO DO PAGTO</t>
  </si>
  <si>
    <t>9(13)V9(02)</t>
  </si>
  <si>
    <t>NOSSO NUMERO</t>
  </si>
  <si>
    <t>NO DOCTO ATRIBUIDO PELO BANCO</t>
  </si>
  <si>
    <t>NOTA 12</t>
  </si>
  <si>
    <t>NOTA 42</t>
  </si>
  <si>
    <t>DATA EFETIVA</t>
  </si>
  <si>
    <t>DATA REAL EFETIVAÇAO DO PAGTO</t>
  </si>
  <si>
    <t>DDMM/AAAA</t>
  </si>
  <si>
    <t>VALOR EFETIVO</t>
  </si>
  <si>
    <t>VALOR REAL EFETIVAÇAO DO PAGTO</t>
  </si>
  <si>
    <t>FINALIDADE DETALHE</t>
  </si>
  <si>
    <t>INFORMAÇÃO COMPLEMENTAR P/ HIST. DE CIC</t>
  </si>
  <si>
    <t>NO DO DOCUMENTO</t>
  </si>
  <si>
    <t>NO DO DOCITED/ 09/ CHEQUE NO RETORNO</t>
  </si>
  <si>
    <t>9(6)</t>
  </si>
  <si>
    <t>NOTA 14</t>
  </si>
  <si>
    <t>N' DE INSCRIÇAO</t>
  </si>
  <si>
    <t>NOTA 15</t>
  </si>
  <si>
    <t>FINALIDADE DOC E STATUS FUNCIONARIO</t>
  </si>
  <si>
    <t>FINALIDADE DO DOC E STATUS DO FUNCIONÁRIO NA EMPRESA</t>
  </si>
  <si>
    <t>NOTA 30</t>
  </si>
  <si>
    <t>FINALIDADE TED</t>
  </si>
  <si>
    <t>FINALIDADE DA TED</t>
  </si>
  <si>
    <t>X(05)</t>
  </si>
  <si>
    <t>NOTA 26</t>
  </si>
  <si>
    <t>AVISO</t>
  </si>
  <si>
    <t>AVISO AO FAVORECIDO</t>
  </si>
  <si>
    <t>NOTA 16</t>
  </si>
  <si>
    <t>CÓDIGO OCORRÊNCIAS NO RETORNO</t>
  </si>
  <si>
    <t xml:space="preserve">IDENTI. TRANSFERENCIA </t>
  </si>
  <si>
    <t>CONTA PAGAMENTO / PIX</t>
  </si>
  <si>
    <t>REGISTRO DETALHE (lançamentos)</t>
  </si>
  <si>
    <r>
      <t>341000130000</t>
    </r>
    <r>
      <rPr>
        <b/>
        <sz val="11"/>
        <color rgb="FFC00000"/>
        <rFont val="Aptos Narrow"/>
        <family val="2"/>
        <scheme val="minor"/>
      </rPr>
      <t>1</t>
    </r>
    <r>
      <rPr>
        <sz val="11"/>
        <color theme="1"/>
        <rFont val="Aptos Narrow"/>
        <family val="2"/>
        <scheme val="minor"/>
      </rPr>
      <t>A000000341</t>
    </r>
    <r>
      <rPr>
        <b/>
        <sz val="11"/>
        <color rgb="FFC00000"/>
        <rFont val="Aptos Narrow"/>
        <family val="2"/>
        <scheme val="minor"/>
      </rPr>
      <t>06557</t>
    </r>
    <r>
      <rPr>
        <sz val="11"/>
        <color theme="1"/>
        <rFont val="Aptos Narrow"/>
        <family val="2"/>
        <scheme val="minor"/>
      </rPr>
      <t xml:space="preserve"> 000000055796 1WANDERSON LEONEL DOS SANTOS GO                    20032024REA000000000000000000000000135963                    20032024000000000135963                    00000000002564396135  00000     0          </t>
    </r>
  </si>
  <si>
    <t>000</t>
  </si>
  <si>
    <t>REA</t>
  </si>
  <si>
    <t>00000000</t>
  </si>
  <si>
    <t>00</t>
  </si>
  <si>
    <t xml:space="preserve">     </t>
  </si>
  <si>
    <t>000000</t>
  </si>
  <si>
    <t xml:space="preserve">  </t>
  </si>
  <si>
    <t>REGISTRO TRAILER DE LOTE</t>
  </si>
  <si>
    <t>CÓDIGO BANCO NA COMPENSAÇÃO</t>
  </si>
  <si>
    <t>NOTA 17</t>
  </si>
  <si>
    <t>TOTAL VALOR PAGTOS</t>
  </si>
  <si>
    <t>SOMA VALOR DOS PGTOS DO LOTE</t>
  </si>
  <si>
    <t>9(18)</t>
  </si>
  <si>
    <t>X(171)</t>
  </si>
  <si>
    <t>OCORRÊNCIAS</t>
  </si>
  <si>
    <t>CÓDIGOS OCORRÊNCIAS P/ RETORNO</t>
  </si>
  <si>
    <t xml:space="preserve">TOTAL QTDE REGISTROS </t>
  </si>
  <si>
    <t>QTDE REGISTROS DO LOTE</t>
  </si>
  <si>
    <t>X(09)</t>
  </si>
  <si>
    <t>9(16)V9(2)</t>
  </si>
  <si>
    <t xml:space="preserve">         </t>
  </si>
  <si>
    <t xml:space="preserve">                                                                                                                                                                           </t>
  </si>
  <si>
    <t>000000000000000000</t>
  </si>
  <si>
    <t>REGISTRO TRAILER DO &gt;&gt; ARQUIVO</t>
  </si>
  <si>
    <t>X(211)</t>
  </si>
  <si>
    <t>TOTAL QTDE REGISTROS</t>
  </si>
  <si>
    <t>TOTAL QTDE DE LOTES</t>
  </si>
  <si>
    <t>REGISTRO TRAILER DE ARQUIVO</t>
  </si>
  <si>
    <t>QTDE REGISTROS DO ARQUIVO</t>
  </si>
  <si>
    <t>QTDE LOTES  DO ARQUIVO</t>
  </si>
  <si>
    <t>000001</t>
  </si>
  <si>
    <t xml:space="preserve">                                                                                                                                                                                                                   </t>
  </si>
  <si>
    <t>RAZÃO SOCIAL</t>
  </si>
  <si>
    <t>CNPJ</t>
  </si>
  <si>
    <t>DADOS BANCÁRIOS</t>
  </si>
  <si>
    <t>DATA DO PAGAMENTO</t>
  </si>
  <si>
    <t>ENDEREÇO</t>
  </si>
  <si>
    <t>LOGRADOURO</t>
  </si>
  <si>
    <t>Nº</t>
  </si>
  <si>
    <t>COMPLEMENTO</t>
  </si>
  <si>
    <t>UF</t>
  </si>
  <si>
    <t>EMPRESA</t>
  </si>
  <si>
    <t>DÍGITO</t>
  </si>
  <si>
    <t xml:space="preserve">CONTA </t>
  </si>
  <si>
    <t>nome</t>
  </si>
  <si>
    <t>agência</t>
  </si>
  <si>
    <t>valor</t>
  </si>
  <si>
    <t>conta</t>
  </si>
  <si>
    <t>código</t>
  </si>
  <si>
    <t>cpf</t>
  </si>
  <si>
    <t>(banco)</t>
  </si>
  <si>
    <t>Cadastro da empresa e dados do arquivo</t>
  </si>
  <si>
    <t>dígito</t>
  </si>
  <si>
    <t>digito</t>
  </si>
  <si>
    <r>
      <t>34100000      080209330294000194                    00065 000000029374 8REDE ANCORA DISTRITO FEDERAL EBANCO ITAU                              1</t>
    </r>
    <r>
      <rPr>
        <b/>
        <sz val="11"/>
        <color rgb="FFFF9933"/>
        <rFont val="Aptos Narrow"/>
        <family val="2"/>
        <scheme val="minor"/>
      </rPr>
      <t>20032024</t>
    </r>
    <r>
      <rPr>
        <b/>
        <sz val="11"/>
        <color rgb="FFC00000"/>
        <rFont val="Aptos Narrow"/>
        <family val="2"/>
        <scheme val="minor"/>
      </rPr>
      <t>102629</t>
    </r>
    <r>
      <rPr>
        <sz val="11"/>
        <color theme="1" tint="0.14999847407452621"/>
        <rFont val="Aptos Narrow"/>
        <family val="2"/>
        <scheme val="minor"/>
      </rPr>
      <t xml:space="preserve">00000000000000                                                                     </t>
    </r>
  </si>
  <si>
    <r>
      <t>34199999         0000010000</t>
    </r>
    <r>
      <rPr>
        <b/>
        <sz val="11"/>
        <color rgb="FFC00000"/>
        <rFont val="Aptos Narrow"/>
        <family val="2"/>
        <scheme val="minor"/>
      </rPr>
      <t>34</t>
    </r>
    <r>
      <rPr>
        <sz val="11"/>
        <color theme="1"/>
        <rFont val="Aptos Narrow"/>
        <family val="2"/>
        <scheme val="minor"/>
      </rPr>
      <t xml:space="preserve">                                                                                                                                                                                                                   </t>
    </r>
  </si>
  <si>
    <r>
      <t>34100015         0000</t>
    </r>
    <r>
      <rPr>
        <b/>
        <sz val="11"/>
        <color rgb="FFC00000"/>
        <rFont val="Aptos Narrow"/>
        <family val="2"/>
        <scheme val="minor"/>
      </rPr>
      <t>32</t>
    </r>
    <r>
      <rPr>
        <sz val="11"/>
        <color theme="1"/>
        <rFont val="Aptos Narrow"/>
        <family val="2"/>
        <scheme val="minor"/>
      </rPr>
      <t>00000000000</t>
    </r>
    <r>
      <rPr>
        <b/>
        <sz val="11"/>
        <color rgb="FFC00000"/>
        <rFont val="Aptos Narrow"/>
        <family val="2"/>
        <scheme val="minor"/>
      </rPr>
      <t>2179324</t>
    </r>
    <r>
      <rPr>
        <sz val="11"/>
        <color theme="1"/>
        <rFont val="Aptos Narrow"/>
        <family val="2"/>
        <scheme val="minor"/>
      </rPr>
      <t xml:space="preserve">000000000000000000                                                                                                                                                                                     </t>
    </r>
  </si>
  <si>
    <t>arquivo final do layout por linha</t>
  </si>
  <si>
    <r>
      <t>N' DE INSCRIÇAO DO FAVORECIDO (</t>
    </r>
    <r>
      <rPr>
        <b/>
        <sz val="11"/>
        <color theme="1" tint="0.249977111117893"/>
        <rFont val="Aptos Narrow"/>
        <family val="2"/>
        <scheme val="minor"/>
      </rPr>
      <t>CPF</t>
    </r>
    <r>
      <rPr>
        <sz val="11"/>
        <color theme="1" tint="0.249977111117893"/>
        <rFont val="Aptos Narrow"/>
        <family val="2"/>
        <scheme val="minor"/>
      </rPr>
      <t>/CNPJ)</t>
    </r>
  </si>
  <si>
    <r>
      <rPr>
        <b/>
        <sz val="11"/>
        <color theme="1" tint="0.249977111117893"/>
        <rFont val="Aptos Narrow"/>
        <family val="2"/>
        <scheme val="minor"/>
      </rPr>
      <t>1</t>
    </r>
    <r>
      <rPr>
        <sz val="11"/>
        <color theme="1" tint="0.249977111117893"/>
        <rFont val="Aptos Narrow"/>
        <family val="2"/>
        <scheme val="minor"/>
      </rPr>
      <t>=REMESSA OU  2=RETORNO</t>
    </r>
  </si>
  <si>
    <r>
      <t xml:space="preserve">DADOS DO ARQUIVO DE </t>
    </r>
    <r>
      <rPr>
        <b/>
        <sz val="11"/>
        <color rgb="FFFF9933"/>
        <rFont val="Aptos Narrow"/>
        <family val="2"/>
        <scheme val="minor"/>
      </rPr>
      <t>PAGAMENTO</t>
    </r>
  </si>
  <si>
    <r>
      <rPr>
        <b/>
        <sz val="16"/>
        <color theme="1" tint="0.249977111117893"/>
        <rFont val="Aptos Narrow"/>
        <family val="2"/>
        <scheme val="minor"/>
      </rPr>
      <t>EXCLUSIVO</t>
    </r>
    <r>
      <rPr>
        <sz val="16"/>
        <color theme="1" tint="0.249977111117893"/>
        <rFont val="Aptos Narrow"/>
        <family val="2"/>
        <scheme val="minor"/>
      </rPr>
      <t xml:space="preserve"> - Pagamentos para  </t>
    </r>
    <r>
      <rPr>
        <b/>
        <sz val="16"/>
        <color rgb="FFC00000"/>
        <rFont val="Aptos Narrow"/>
        <family val="2"/>
        <scheme val="minor"/>
      </rPr>
      <t>CONTAS ITAU</t>
    </r>
  </si>
  <si>
    <t>REDE ANCORA-RJ IMPORTADORA EXPORTADORA E DISTRIBUIDORA DE AUTO PECAS S/A</t>
  </si>
  <si>
    <t>RUA MARTINICA</t>
  </si>
  <si>
    <t>RIO DE JANEIRO</t>
  </si>
  <si>
    <t>RJ</t>
  </si>
  <si>
    <r>
      <rPr>
        <b/>
        <sz val="16"/>
        <color theme="1" tint="0.249977111117893"/>
        <rFont val="Aptos Narrow"/>
        <family val="2"/>
        <scheme val="minor"/>
      </rPr>
      <t>EXCLUSIVO</t>
    </r>
    <r>
      <rPr>
        <sz val="16"/>
        <color theme="1" tint="0.249977111117893"/>
        <rFont val="Aptos Narrow"/>
        <family val="2"/>
        <scheme val="minor"/>
      </rPr>
      <t xml:space="preserve"> - Pagamentos </t>
    </r>
    <r>
      <rPr>
        <b/>
        <sz val="16"/>
        <color theme="1" tint="0.249977111117893"/>
        <rFont val="Aptos Narrow"/>
        <family val="2"/>
        <scheme val="minor"/>
      </rPr>
      <t>TED</t>
    </r>
    <r>
      <rPr>
        <sz val="16"/>
        <color theme="1" tint="0.249977111117893"/>
        <rFont val="Aptos Narrow"/>
        <family val="2"/>
        <scheme val="minor"/>
      </rPr>
      <t xml:space="preserve"> </t>
    </r>
    <r>
      <rPr>
        <b/>
        <sz val="16"/>
        <color rgb="FFC00000"/>
        <rFont val="Aptos Narrow"/>
        <family val="2"/>
        <scheme val="minor"/>
      </rPr>
      <t>OUTROS BANCOS</t>
    </r>
  </si>
  <si>
    <t>THIAGO GOMES ZIOLKOWSKI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</si>
</sst>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164" formatCode="000"/>
    <numFmt numFmtId="165" formatCode="00\.000\.000\/0000\-00"/>
    <numFmt numFmtId="166" formatCode="h:mm:ss;@"/>
    <numFmt numFmtId="167" formatCode="dd\-mm\-yyyy;@"/>
    <numFmt numFmtId="168" formatCode="00000\-000"/>
    <numFmt numFmtId="169" formatCode="#,##0.00;[Red]#,##0.00"/>
    <numFmt numFmtId="170" formatCode="000&quot;.&quot;000&quot;.&quot;000\-00"/>
    <numFmt numFmtId="171" formatCode="[$-F800]dddd\,\ mmmm\ dd\,\ yyyy"/>
  </numFmts>
  <fonts count="30" x14ac:knownFonts="1">
    <font>
      <sz val="11"/>
      <color theme="1"/>
      <name val="Aptos Narrow"/>
      <family val="2"/>
      <scheme val="minor"/>
    </font>
    <font>
      <sz val="11"/>
      <color theme="0" tint="-0.249977111117893"/>
      <name val="Aptos Narrow"/>
      <family val="2"/>
      <scheme val="minor"/>
    </font>
    <font>
      <sz val="11"/>
      <color theme="0" tint="-4.9989318521683403E-2"/>
      <name val="Aptos Narrow"/>
      <family val="2"/>
      <scheme val="minor"/>
    </font>
    <font>
      <b/>
      <sz val="18"/>
      <color theme="0"/>
      <name val="Aptos Narrow"/>
      <family val="2"/>
      <scheme val="minor"/>
    </font>
    <font>
      <sz val="11"/>
      <color theme="0"/>
      <name val="Aptos Narrow"/>
      <family val="2"/>
      <scheme val="minor"/>
    </font>
    <font>
      <b/>
      <sz val="14"/>
      <color theme="0"/>
      <name val="Aptos Narrow"/>
      <family val="2"/>
      <scheme val="minor"/>
    </font>
    <font>
      <b/>
      <sz val="11"/>
      <color rgb="FFC00000"/>
      <name val="Aptos Narrow"/>
      <family val="2"/>
      <scheme val="minor"/>
    </font>
    <font>
      <sz val="11"/>
      <color theme="1" tint="0.14999847407452621"/>
      <name val="Aptos Narrow"/>
      <family val="2"/>
      <scheme val="minor"/>
    </font>
    <font>
      <b/>
      <sz val="11"/>
      <color theme="1" tint="0.249977111117893"/>
      <name val="Aptos Narrow"/>
      <family val="2"/>
      <scheme val="minor"/>
    </font>
    <font>
      <u/>
      <sz val="11"/>
      <color theme="10"/>
      <name val="Aptos Narrow"/>
      <family val="2"/>
      <scheme val="minor"/>
    </font>
    <font>
      <b/>
      <sz val="11"/>
      <color theme="1" tint="0.34998626667073579"/>
      <name val="Aptos Narrow"/>
      <family val="2"/>
      <scheme val="minor"/>
    </font>
    <font>
      <sz val="11"/>
      <color theme="1" tint="0.249977111117893"/>
      <name val="Aptos Narrow"/>
      <family val="2"/>
      <scheme val="minor"/>
    </font>
    <font>
      <b/>
      <sz val="12"/>
      <color rgb="FFC00000"/>
      <name val="Aptos Narrow"/>
      <family val="2"/>
      <scheme val="minor"/>
    </font>
    <font>
      <sz val="14"/>
      <color theme="1"/>
      <name val="Aptos Narrow"/>
      <family val="2"/>
      <scheme val="minor"/>
    </font>
    <font>
      <sz val="14"/>
      <color theme="0" tint="-4.9989318521683403E-2"/>
      <name val="Aptos Narrow"/>
      <family val="2"/>
      <scheme val="minor"/>
    </font>
    <font>
      <sz val="16"/>
      <color theme="1" tint="0.249977111117893"/>
      <name val="Aptos Narrow"/>
      <family val="2"/>
      <scheme val="minor"/>
    </font>
    <font>
      <b/>
      <sz val="16"/>
      <color theme="1" tint="0.249977111117893"/>
      <name val="Aptos Narrow"/>
      <family val="2"/>
      <scheme val="minor"/>
    </font>
    <font>
      <sz val="11"/>
      <color rgb="FFC00000"/>
      <name val="Aptos Narrow"/>
      <family val="2"/>
      <scheme val="minor"/>
    </font>
    <font>
      <b/>
      <sz val="11"/>
      <color rgb="FFFF9933"/>
      <name val="Aptos Narrow"/>
      <family val="2"/>
      <scheme val="minor"/>
    </font>
    <font>
      <sz val="14"/>
      <color theme="1" tint="0.249977111117893"/>
      <name val="Aptos Narrow"/>
      <family val="2"/>
      <scheme val="minor"/>
    </font>
    <font>
      <b/>
      <sz val="11"/>
      <color theme="0"/>
      <name val="Aptos Narrow"/>
      <family val="2"/>
      <scheme val="minor"/>
    </font>
    <font>
      <sz val="14"/>
      <color rgb="FFC00000"/>
      <name val="Aptos Narrow"/>
      <family val="2"/>
      <scheme val="minor"/>
    </font>
    <font>
      <b/>
      <sz val="14"/>
      <color rgb="FFFF9933"/>
      <name val="Aptos Narrow"/>
      <family val="2"/>
      <scheme val="minor"/>
    </font>
    <font>
      <b/>
      <u/>
      <sz val="16"/>
      <color rgb="FFFF9933"/>
      <name val="Aptos Narrow"/>
      <family val="2"/>
      <scheme val="minor"/>
    </font>
    <font>
      <sz val="11"/>
      <color theme="1" tint="0.499984740745262"/>
      <name val="Aptos Narrow"/>
      <family val="2"/>
      <scheme val="minor"/>
    </font>
    <font>
      <b/>
      <sz val="11"/>
      <color theme="1" tint="0.499984740745262"/>
      <name val="Aptos Narrow"/>
      <family val="2"/>
      <scheme val="minor"/>
    </font>
    <font>
      <u/>
      <sz val="11"/>
      <color theme="1" tint="0.499984740745262"/>
      <name val="Aptos Narrow"/>
      <family val="2"/>
      <scheme val="minor"/>
    </font>
    <font>
      <b/>
      <sz val="12"/>
      <color theme="1" tint="0.499984740745262"/>
      <name val="Aptos Narrow"/>
      <family val="2"/>
      <scheme val="minor"/>
    </font>
    <font>
      <b/>
      <sz val="16"/>
      <color rgb="FFC00000"/>
      <name val="Aptos Narrow"/>
      <family val="2"/>
      <scheme val="minor"/>
    </font>
    <font>
      <sz val="11"/>
      <color theme="1" tint="0.34998626667073579"/>
      <name val="Aptos Narrow"/>
      <family val="2"/>
      <scheme val="minor"/>
    </font>
  </fonts>
  <fills count="10">
    <fill>
      <patternFill patternType="none"/>
    </fill>
    <fill>
      <patternFill patternType="gray125"/>
    </fill>
    <fill>
      <patternFill patternType="solid">
        <fgColor theme="1" tint="0.34998626667073579"/>
        <bgColor indexed="64"/>
      </patternFill>
    </fill>
    <fill>
      <patternFill patternType="solid">
        <fgColor theme="2" tint="-0.499984740745262"/>
        <bgColor indexed="64"/>
      </patternFill>
    </fill>
    <fill>
      <patternFill patternType="solid">
        <fgColor rgb="FFC00000"/>
        <bgColor indexed="64"/>
      </patternFill>
    </fill>
    <fill>
      <patternFill patternType="solid">
        <fgColor theme="1" tint="0.249977111117893"/>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1" tint="0.14999847407452621"/>
        <bgColor indexed="64"/>
      </patternFill>
    </fill>
    <fill>
      <patternFill patternType="solid">
        <fgColor theme="0"/>
        <bgColor indexed="64"/>
      </patternFill>
    </fill>
  </fills>
  <borders count="3">
    <border>
      <left/>
      <right/>
      <top/>
      <bottom/>
      <diagonal/>
    </border>
    <border>
      <left/>
      <right style="thin">
        <color theme="0" tint="-0.34998626667073579"/>
      </right>
      <top/>
      <bottom style="thin">
        <color theme="0" tint="-0.34998626667073579"/>
      </bottom>
      <diagonal/>
    </border>
    <border>
      <left/>
      <right/>
      <top/>
      <bottom style="thin">
        <color theme="0" tint="-0.34998626667073579"/>
      </bottom>
      <diagonal/>
    </border>
  </borders>
  <cellStyleXfs count="2">
    <xf numFmtId="0" fontId="0" fillId="0" borderId="0"/>
    <xf numFmtId="0" fontId="9" fillId="0" borderId="0" applyNumberFormat="0" applyFill="0" applyBorder="0" applyAlignment="0" applyProtection="0"/>
  </cellStyleXfs>
  <cellXfs count="100">
    <xf numFmtId="0" fontId="0" fillId="0" borderId="0" xfId="0"/>
    <xf numFmtId="0" fontId="0" fillId="0" borderId="0" xfId="0" applyAlignment="1">
      <alignment vertical="center"/>
    </xf>
    <xf numFmtId="0" fontId="1" fillId="2" borderId="0" xfId="0" applyFont="1" applyFill="1" applyAlignment="1">
      <alignment horizontal="center" vertical="center"/>
    </xf>
    <xf numFmtId="0" fontId="0" fillId="0" borderId="0" xfId="0" applyAlignment="1">
      <alignment horizontal="left" vertical="center"/>
    </xf>
    <xf numFmtId="0" fontId="0" fillId="0" borderId="0" xfId="0" applyAlignment="1">
      <alignment horizontal="left"/>
    </xf>
    <xf numFmtId="0" fontId="0" fillId="0" borderId="0" xfId="0" applyAlignment="1">
      <alignment horizontal="center"/>
    </xf>
    <xf numFmtId="0" fontId="2" fillId="3" borderId="0" xfId="0" applyFont="1" applyFill="1" applyAlignment="1">
      <alignment horizontal="center" vertical="center"/>
    </xf>
    <xf numFmtId="0" fontId="0" fillId="0" borderId="0" xfId="0" applyAlignment="1">
      <alignment horizontal="left" indent="1"/>
    </xf>
    <xf numFmtId="164" fontId="0" fillId="0" borderId="0" xfId="0" applyNumberFormat="1" applyAlignment="1">
      <alignment horizontal="center"/>
    </xf>
    <xf numFmtId="0" fontId="2" fillId="3" borderId="0" xfId="0" applyFont="1" applyFill="1" applyAlignment="1">
      <alignment horizontal="left" vertical="center"/>
    </xf>
    <xf numFmtId="0" fontId="0" fillId="6" borderId="0" xfId="0" applyFill="1"/>
    <xf numFmtId="0" fontId="0" fillId="6" borderId="0" xfId="0" applyFill="1" applyAlignment="1">
      <alignment vertical="center"/>
    </xf>
    <xf numFmtId="0" fontId="0" fillId="8" borderId="0" xfId="0" applyFill="1"/>
    <xf numFmtId="0" fontId="2" fillId="8" borderId="0" xfId="0" applyFont="1" applyFill="1" applyAlignment="1">
      <alignment horizontal="left" indent="1"/>
    </xf>
    <xf numFmtId="0" fontId="13" fillId="8" borderId="0" xfId="0" applyFont="1" applyFill="1"/>
    <xf numFmtId="0" fontId="13" fillId="0" borderId="0" xfId="0" applyFont="1"/>
    <xf numFmtId="0" fontId="11" fillId="0" borderId="0" xfId="0" applyFont="1" applyAlignment="1">
      <alignment vertical="center"/>
    </xf>
    <xf numFmtId="0" fontId="8" fillId="7" borderId="0" xfId="0" quotePrefix="1" applyFont="1" applyFill="1" applyAlignment="1">
      <alignment horizontal="center" vertical="center"/>
    </xf>
    <xf numFmtId="0" fontId="15" fillId="6" borderId="0" xfId="0" applyFont="1" applyFill="1" applyAlignment="1">
      <alignment vertical="center"/>
    </xf>
    <xf numFmtId="0" fontId="14" fillId="8" borderId="0" xfId="0" applyFont="1" applyFill="1" applyAlignment="1">
      <alignment horizontal="center"/>
    </xf>
    <xf numFmtId="1" fontId="11" fillId="0" borderId="0" xfId="0" applyNumberFormat="1" applyFont="1" applyAlignment="1">
      <alignment horizontal="center" vertical="center"/>
    </xf>
    <xf numFmtId="0" fontId="2" fillId="8" borderId="0" xfId="0" applyFont="1" applyFill="1" applyAlignment="1">
      <alignment horizontal="center"/>
    </xf>
    <xf numFmtId="0" fontId="0" fillId="7" borderId="0" xfId="0" applyFill="1"/>
    <xf numFmtId="0" fontId="0" fillId="7" borderId="0" xfId="0" applyFill="1" applyAlignment="1">
      <alignment vertical="center"/>
    </xf>
    <xf numFmtId="0" fontId="2" fillId="0" borderId="0" xfId="0" applyFont="1" applyAlignment="1">
      <alignment vertical="center"/>
    </xf>
    <xf numFmtId="0" fontId="11" fillId="0" borderId="0" xfId="0" applyFont="1" applyAlignment="1">
      <alignment horizontal="left" vertical="center" indent="1"/>
    </xf>
    <xf numFmtId="1" fontId="11" fillId="0" borderId="0" xfId="0" applyNumberFormat="1" applyFont="1" applyAlignment="1">
      <alignment horizontal="right" vertical="center" indent="1"/>
    </xf>
    <xf numFmtId="0" fontId="11" fillId="0" borderId="0" xfId="0" applyFont="1" applyAlignment="1">
      <alignment horizontal="center" vertical="center"/>
    </xf>
    <xf numFmtId="0" fontId="8" fillId="6" borderId="0" xfId="0" applyFont="1" applyFill="1" applyAlignment="1">
      <alignment horizontal="center"/>
    </xf>
    <xf numFmtId="0" fontId="19" fillId="6" borderId="0" xfId="0" applyFont="1" applyFill="1" applyAlignment="1">
      <alignment horizontal="center" vertical="center"/>
    </xf>
    <xf numFmtId="0" fontId="0" fillId="6" borderId="0" xfId="0" applyFill="1" applyAlignment="1">
      <alignment horizontal="center"/>
    </xf>
    <xf numFmtId="0" fontId="0" fillId="8" borderId="0" xfId="0" applyFill="1" applyAlignment="1">
      <alignment horizontal="center"/>
    </xf>
    <xf numFmtId="0" fontId="17" fillId="6" borderId="0" xfId="0" applyFont="1" applyFill="1" applyAlignment="1">
      <alignment horizontal="center"/>
    </xf>
    <xf numFmtId="0" fontId="20" fillId="6" borderId="0" xfId="0" applyFont="1" applyFill="1" applyAlignment="1">
      <alignment horizontal="center" vertical="center"/>
    </xf>
    <xf numFmtId="0" fontId="12" fillId="0" borderId="0" xfId="0" applyFont="1" applyAlignment="1">
      <alignment horizontal="center" vertical="center"/>
    </xf>
    <xf numFmtId="0" fontId="21" fillId="6" borderId="0" xfId="0" applyFont="1" applyFill="1" applyAlignment="1">
      <alignment horizontal="center" vertical="center"/>
    </xf>
    <xf numFmtId="1" fontId="11" fillId="0" borderId="0" xfId="0" applyNumberFormat="1" applyFont="1" applyAlignment="1">
      <alignment horizontal="left" vertical="center" indent="1"/>
    </xf>
    <xf numFmtId="0" fontId="11" fillId="7" borderId="0" xfId="0" quotePrefix="1" applyFont="1" applyFill="1" applyAlignment="1">
      <alignment horizontal="left" vertical="center" indent="1"/>
    </xf>
    <xf numFmtId="0" fontId="0" fillId="0" borderId="0" xfId="0" applyAlignment="1">
      <alignment horizontal="center" vertical="center"/>
    </xf>
    <xf numFmtId="164" fontId="11" fillId="0" borderId="0" xfId="0" applyNumberFormat="1" applyFont="1" applyAlignment="1">
      <alignment horizontal="center" vertical="center"/>
    </xf>
    <xf numFmtId="0" fontId="11" fillId="0" borderId="0" xfId="0" applyFont="1" applyAlignment="1">
      <alignment horizontal="left" vertical="center"/>
    </xf>
    <xf numFmtId="164" fontId="11" fillId="0" borderId="0" xfId="0" applyNumberFormat="1" applyFont="1" applyAlignment="1">
      <alignment horizontal="center"/>
    </xf>
    <xf numFmtId="0" fontId="11" fillId="0" borderId="0" xfId="0" applyFont="1" applyAlignment="1">
      <alignment horizontal="center"/>
    </xf>
    <xf numFmtId="0" fontId="11" fillId="0" borderId="0" xfId="0" applyFont="1" applyAlignment="1">
      <alignment horizontal="left"/>
    </xf>
    <xf numFmtId="0" fontId="11" fillId="0" borderId="0" xfId="0" applyFont="1" applyAlignment="1">
      <alignment horizontal="left" indent="1"/>
    </xf>
    <xf numFmtId="0" fontId="11" fillId="0" borderId="0" xfId="0" quotePrefix="1" applyFont="1" applyAlignment="1">
      <alignment horizontal="left" indent="1"/>
    </xf>
    <xf numFmtId="0" fontId="11" fillId="0" borderId="0" xfId="0" applyFont="1" applyAlignment="1">
      <alignment horizontal="left" indent="2"/>
    </xf>
    <xf numFmtId="0" fontId="11" fillId="0" borderId="0" xfId="0" quotePrefix="1" applyFont="1" applyAlignment="1">
      <alignment horizontal="left" indent="2"/>
    </xf>
    <xf numFmtId="0" fontId="8" fillId="0" borderId="0" xfId="0" applyFont="1" applyAlignment="1">
      <alignment horizontal="left" vertical="center" indent="1"/>
    </xf>
    <xf numFmtId="0" fontId="11" fillId="0" borderId="0" xfId="0" quotePrefix="1" applyFont="1" applyAlignment="1">
      <alignment horizontal="left"/>
    </xf>
    <xf numFmtId="0" fontId="11" fillId="7" borderId="0" xfId="0" applyFont="1" applyFill="1" applyAlignment="1">
      <alignment horizontal="left" indent="1"/>
    </xf>
    <xf numFmtId="0" fontId="8" fillId="7" borderId="0" xfId="0" applyFont="1" applyFill="1" applyAlignment="1">
      <alignment horizontal="left" vertical="center" indent="1"/>
    </xf>
    <xf numFmtId="0" fontId="8" fillId="6" borderId="0" xfId="0" applyFont="1" applyFill="1" applyAlignment="1">
      <alignment horizontal="left" vertical="center" indent="1"/>
    </xf>
    <xf numFmtId="49" fontId="18" fillId="0" borderId="0" xfId="0" applyNumberFormat="1" applyFont="1" applyAlignment="1" applyProtection="1">
      <alignment horizontal="left" vertical="center" indent="1"/>
      <protection locked="0"/>
    </xf>
    <xf numFmtId="170" fontId="11" fillId="0" borderId="0" xfId="0" quotePrefix="1" applyNumberFormat="1" applyFont="1" applyAlignment="1" applyProtection="1">
      <alignment horizontal="center" vertical="center"/>
      <protection locked="0"/>
    </xf>
    <xf numFmtId="169" fontId="11" fillId="0" borderId="0" xfId="0" applyNumberFormat="1" applyFont="1" applyAlignment="1" applyProtection="1">
      <alignment vertical="center"/>
      <protection locked="0"/>
    </xf>
    <xf numFmtId="1" fontId="11" fillId="0" borderId="0" xfId="0" applyNumberFormat="1" applyFont="1" applyAlignment="1" applyProtection="1">
      <alignment horizontal="center" vertical="center"/>
      <protection locked="0"/>
    </xf>
    <xf numFmtId="1" fontId="11" fillId="0" borderId="0" xfId="0" quotePrefix="1" applyNumberFormat="1" applyFont="1" applyAlignment="1" applyProtection="1">
      <alignment horizontal="right" vertical="center" indent="1"/>
      <protection locked="0"/>
    </xf>
    <xf numFmtId="0" fontId="11" fillId="0" borderId="0" xfId="0" quotePrefix="1" applyFont="1" applyAlignment="1" applyProtection="1">
      <alignment horizontal="right" vertical="center" indent="1"/>
      <protection locked="0"/>
    </xf>
    <xf numFmtId="1" fontId="11" fillId="0" borderId="0" xfId="0" quotePrefix="1" applyNumberFormat="1" applyFont="1" applyAlignment="1" applyProtection="1">
      <alignment horizontal="center" vertical="center"/>
      <protection locked="0"/>
    </xf>
    <xf numFmtId="49" fontId="11" fillId="0" borderId="0" xfId="0" applyNumberFormat="1" applyFont="1" applyAlignment="1" applyProtection="1">
      <alignment horizontal="left" vertical="center" indent="1"/>
      <protection locked="0"/>
    </xf>
    <xf numFmtId="0" fontId="11" fillId="0" borderId="0" xfId="0" quotePrefix="1" applyFont="1" applyAlignment="1" applyProtection="1">
      <alignment horizontal="center" vertical="center"/>
      <protection locked="0"/>
    </xf>
    <xf numFmtId="0" fontId="24" fillId="7" borderId="0" xfId="0" applyFont="1" applyFill="1" applyAlignment="1">
      <alignment vertical="center"/>
    </xf>
    <xf numFmtId="0" fontId="24" fillId="0" borderId="2" xfId="0" applyFont="1" applyBorder="1" applyAlignment="1">
      <alignment vertical="center"/>
    </xf>
    <xf numFmtId="0" fontId="25" fillId="0" borderId="1" xfId="0" applyFont="1" applyBorder="1" applyAlignment="1">
      <alignment horizontal="right" vertical="center" indent="1"/>
    </xf>
    <xf numFmtId="0" fontId="27" fillId="0" borderId="0" xfId="0" quotePrefix="1" applyFont="1" applyAlignment="1" applyProtection="1">
      <alignment horizontal="center" vertical="center"/>
      <protection locked="0"/>
    </xf>
    <xf numFmtId="0" fontId="27" fillId="9" borderId="0" xfId="0" quotePrefix="1" applyFont="1" applyFill="1" applyAlignment="1" applyProtection="1">
      <alignment horizontal="center" vertical="center"/>
      <protection locked="0"/>
    </xf>
    <xf numFmtId="0" fontId="9" fillId="7" borderId="0" xfId="1" applyFill="1" applyAlignment="1">
      <alignment vertical="center"/>
    </xf>
    <xf numFmtId="0" fontId="10" fillId="7" borderId="0" xfId="0" applyFont="1" applyFill="1"/>
    <xf numFmtId="0" fontId="26" fillId="7" borderId="0" xfId="1" applyFont="1" applyFill="1" applyAlignment="1">
      <alignment horizontal="center" vertical="center"/>
    </xf>
    <xf numFmtId="0" fontId="23" fillId="7" borderId="0" xfId="1" applyFont="1" applyFill="1" applyAlignment="1">
      <alignment horizontal="center" vertical="center"/>
    </xf>
    <xf numFmtId="0" fontId="2" fillId="7" borderId="0" xfId="0" applyFont="1" applyFill="1" applyAlignment="1">
      <alignment vertical="center"/>
    </xf>
    <xf numFmtId="0" fontId="0" fillId="7" borderId="0" xfId="0" applyFill="1" applyAlignment="1">
      <alignment horizontal="right" vertical="center"/>
    </xf>
    <xf numFmtId="0" fontId="24" fillId="7" borderId="0" xfId="0" applyFont="1" applyFill="1"/>
    <xf numFmtId="0" fontId="29" fillId="6" borderId="0" xfId="0" applyFont="1" applyFill="1"/>
    <xf numFmtId="169" fontId="29" fillId="6" borderId="0" xfId="0" applyNumberFormat="1" applyFont="1" applyFill="1"/>
    <xf numFmtId="0" fontId="15" fillId="6" borderId="0" xfId="0" applyFont="1" applyFill="1" applyAlignment="1">
      <alignment vertical="top"/>
    </xf>
    <xf numFmtId="0" fontId="11" fillId="7" borderId="0" xfId="0" quotePrefix="1" applyFont="1" applyFill="1" applyAlignment="1" applyProtection="1">
      <alignment horizontal="left" indent="1"/>
      <protection locked="0"/>
    </xf>
    <xf numFmtId="0" fontId="11" fillId="7" borderId="0" xfId="0" quotePrefix="1" applyFont="1" applyFill="1" applyAlignment="1" applyProtection="1">
      <alignment horizontal="left" indent="2"/>
      <protection locked="0"/>
    </xf>
    <xf numFmtId="0" fontId="14" fillId="8" borderId="0" xfId="0" applyFont="1" applyFill="1" applyAlignment="1">
      <alignment horizontal="center"/>
    </xf>
    <xf numFmtId="171" fontId="11" fillId="6" borderId="0" xfId="0" applyNumberFormat="1" applyFont="1" applyFill="1" applyAlignment="1">
      <alignment horizontal="right" indent="1"/>
    </xf>
    <xf numFmtId="167" fontId="22" fillId="9" borderId="0" xfId="0" quotePrefix="1" applyNumberFormat="1" applyFont="1" applyFill="1" applyAlignment="1" applyProtection="1">
      <alignment horizontal="center" vertical="center"/>
      <protection locked="0"/>
    </xf>
    <xf numFmtId="166" fontId="27" fillId="9" borderId="0" xfId="0" quotePrefix="1" applyNumberFormat="1" applyFont="1" applyFill="1" applyAlignment="1">
      <alignment horizontal="center" vertical="center"/>
    </xf>
    <xf numFmtId="0" fontId="27" fillId="9" borderId="0" xfId="0" quotePrefix="1" applyFont="1" applyFill="1" applyAlignment="1" applyProtection="1">
      <alignment horizontal="center" vertical="center"/>
      <protection locked="0"/>
    </xf>
    <xf numFmtId="165" fontId="27" fillId="9" borderId="0" xfId="0" quotePrefix="1" applyNumberFormat="1" applyFont="1" applyFill="1" applyAlignment="1" applyProtection="1">
      <alignment horizontal="center" vertical="center"/>
      <protection locked="0"/>
    </xf>
    <xf numFmtId="167" fontId="27" fillId="9" borderId="0" xfId="0" quotePrefix="1" applyNumberFormat="1" applyFont="1" applyFill="1" applyAlignment="1">
      <alignment horizontal="center" vertical="center"/>
    </xf>
    <xf numFmtId="168" fontId="27" fillId="9" borderId="0" xfId="0" quotePrefix="1" applyNumberFormat="1" applyFont="1" applyFill="1" applyAlignment="1" applyProtection="1">
      <alignment horizontal="center" vertical="center"/>
      <protection locked="0"/>
    </xf>
    <xf numFmtId="0" fontId="27" fillId="0" borderId="0" xfId="0" applyFont="1" applyAlignment="1" applyProtection="1">
      <alignment horizontal="left" vertical="center" indent="1"/>
      <protection locked="0"/>
    </xf>
    <xf numFmtId="0" fontId="27" fillId="9" borderId="0" xfId="0" applyFont="1" applyFill="1" applyAlignment="1" applyProtection="1">
      <alignment horizontal="left" vertical="center" indent="1"/>
      <protection locked="0"/>
    </xf>
    <xf numFmtId="0" fontId="27" fillId="0" borderId="0" xfId="0" quotePrefix="1" applyFont="1" applyAlignment="1" applyProtection="1">
      <alignment horizontal="left" vertical="center" indent="1"/>
      <protection locked="0"/>
    </xf>
    <xf numFmtId="0" fontId="27" fillId="9" borderId="0" xfId="0" quotePrefix="1" applyFont="1" applyFill="1" applyAlignment="1" applyProtection="1">
      <alignment horizontal="left" vertical="center" indent="1"/>
      <protection locked="0"/>
    </xf>
    <xf numFmtId="171" fontId="11" fillId="6" borderId="0" xfId="0" applyNumberFormat="1" applyFont="1" applyFill="1" applyAlignment="1">
      <alignment horizontal="right" indent="4"/>
    </xf>
    <xf numFmtId="0" fontId="2" fillId="3" borderId="0" xfId="0" applyFont="1" applyFill="1" applyAlignment="1">
      <alignment horizontal="center" vertical="center"/>
    </xf>
    <xf numFmtId="0" fontId="3" fillId="2" borderId="0" xfId="0" applyFont="1" applyFill="1" applyAlignment="1">
      <alignment horizontal="center" vertical="center"/>
    </xf>
    <xf numFmtId="0" fontId="4" fillId="5" borderId="0" xfId="0" applyFont="1" applyFill="1" applyAlignment="1">
      <alignment horizontal="left" vertical="center" indent="2"/>
    </xf>
    <xf numFmtId="0" fontId="7" fillId="0" borderId="0" xfId="0" applyFont="1" applyAlignment="1">
      <alignment horizontal="left" vertical="center" indent="2"/>
    </xf>
    <xf numFmtId="0" fontId="5" fillId="4" borderId="0" xfId="0" applyFont="1" applyFill="1" applyAlignment="1">
      <alignment horizontal="center" vertical="center"/>
    </xf>
    <xf numFmtId="0" fontId="0" fillId="0" borderId="0" xfId="0" applyAlignment="1">
      <alignment horizontal="left" vertical="center" indent="2"/>
    </xf>
    <xf numFmtId="0" fontId="0" fillId="0" borderId="0" xfId="0" applyAlignment="1">
      <alignment horizontal="left" vertical="center"/>
    </xf>
    <xf numFmtId="0" fontId="4" fillId="5" borderId="0" xfId="0" applyFont="1" applyFill="1" applyAlignment="1">
      <alignment horizontal="left" vertical="center"/>
    </xf>
  </cellXfs>
  <cellStyles count="2">
    <cellStyle name="Hiperlink" xfId="1" builtinId="8"/>
    <cellStyle name="Normal" xfId="0" builtinId="0"/>
  </cellStyles>
  <dxfs count="7">
    <dxf>
      <font>
        <b/>
        <i val="0"/>
        <color theme="0"/>
      </font>
      <fill>
        <patternFill>
          <bgColor rgb="FFFF0000"/>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b/>
        <i val="0"/>
        <color theme="0"/>
      </font>
      <fill>
        <patternFill>
          <bgColor rgb="FFFF0000"/>
        </patternFill>
      </fill>
    </dxf>
  </dxfs>
  <tableStyles count="1" defaultTableStyle="TableStyleMedium2" defaultPivotStyle="PivotStyleLight16">
    <tableStyle name="Invisible" pivot="0" table="0" count="0" xr9:uid="{8D43DE2D-B3BA-4C14-8C12-E300282CCEB0}"/>
  </tableStyles>
  <colors>
    <mruColors>
      <color rgb="FFFF99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17/10/relationships/person" Target="persons/perso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3" Type="http://schemas.openxmlformats.org/officeDocument/2006/relationships/image" Target="../media/image2.jpeg"/><Relationship Id="rId2" Type="http://schemas.microsoft.com/office/2007/relationships/hdphoto" Target="../media/hdphoto1.wdp"/><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2.jpeg"/><Relationship Id="rId2" Type="http://schemas.microsoft.com/office/2007/relationships/hdphoto" Target="../media/hdphoto1.wdp"/><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3" Type="http://schemas.openxmlformats.org/officeDocument/2006/relationships/image" Target="../media/image2.jpeg"/><Relationship Id="rId2" Type="http://schemas.microsoft.com/office/2007/relationships/hdphoto" Target="../media/hdphoto1.wdp"/><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absolute">
    <xdr:from>
      <xdr:col>16</xdr:col>
      <xdr:colOff>416718</xdr:colOff>
      <xdr:row>9</xdr:row>
      <xdr:rowOff>166688</xdr:rowOff>
    </xdr:from>
    <xdr:to>
      <xdr:col>18</xdr:col>
      <xdr:colOff>401541</xdr:colOff>
      <xdr:row>12</xdr:row>
      <xdr:rowOff>184233</xdr:rowOff>
    </xdr:to>
    <xdr:pic>
      <xdr:nvPicPr>
        <xdr:cNvPr id="8" name="Imagem 7">
          <a:extLst>
            <a:ext uri="{FF2B5EF4-FFF2-40B4-BE49-F238E27FC236}">
              <a16:creationId xmlns:a16="http://schemas.microsoft.com/office/drawing/2014/main" id="{1D5DCA3A-4112-4468-8C29-D41FDA0EEA81}"/>
            </a:ext>
          </a:extLst>
        </xdr:cNvPr>
        <xdr:cNvPicPr>
          <a:picLocks noChangeAspect="1"/>
        </xdr:cNvPicPr>
      </xdr:nvPicPr>
      <xdr:blipFill rotWithShape="1">
        <a:blip xmlns:r="http://schemas.openxmlformats.org/officeDocument/2006/relationships" r:embed="rId1">
          <a:extLst>
            <a:ext uri="{BEBA8EAE-BF5A-486C-A8C5-ECC9F3942E4B}">
              <a14:imgProps xmlns:a14="http://schemas.microsoft.com/office/drawing/2010/main">
                <a14:imgLayer r:embed="rId2">
                  <a14:imgEffect>
                    <a14:backgroundRemoval t="5469" b="95508" l="2903" r="96997">
                      <a14:foregroundMark x1="33333" y1="41406" x2="33233" y2="40820"/>
                      <a14:foregroundMark x1="32232" y1="40234" x2="27628" y2="34180"/>
                      <a14:foregroundMark x1="16517" y1="25391" x2="8408" y2="20117"/>
                      <a14:foregroundMark x1="8408" y1="20117" x2="3003" y2="36719"/>
                      <a14:foregroundMark x1="3003" y1="36719" x2="4104" y2="37305"/>
                      <a14:foregroundMark x1="24424" y1="44141" x2="16617" y2="28320"/>
                      <a14:foregroundMark x1="16617" y1="28320" x2="22823" y2="19141"/>
                      <a14:foregroundMark x1="22823" y1="19141" x2="32833" y2="25391"/>
                      <a14:foregroundMark x1="32833" y1="25391" x2="31832" y2="35547"/>
                      <a14:foregroundMark x1="31832" y1="35547" x2="23323" y2="35742"/>
                      <a14:foregroundMark x1="23323" y1="35742" x2="21522" y2="34570"/>
                      <a14:foregroundMark x1="47047" y1="33008" x2="43343" y2="13672"/>
                      <a14:foregroundMark x1="43343" y1="13672" x2="36537" y2="8398"/>
                      <a14:foregroundMark x1="36537" y1="8398" x2="9209" y2="11523"/>
                      <a14:foregroundMark x1="9209" y1="11523" x2="3303" y2="21875"/>
                      <a14:foregroundMark x1="3303" y1="21875" x2="2903" y2="35742"/>
                      <a14:foregroundMark x1="2903" y1="35742" x2="32132" y2="43164"/>
                      <a14:foregroundMark x1="32132" y1="43164" x2="41542" y2="38672"/>
                      <a14:foregroundMark x1="41542" y1="38672" x2="46647" y2="32617"/>
                      <a14:foregroundMark x1="46647" y1="32617" x2="46747" y2="32617"/>
                      <a14:foregroundMark x1="46647" y1="35156" x2="47347" y2="77734"/>
                      <a14:foregroundMark x1="47347" y1="77734" x2="42843" y2="87500"/>
                      <a14:foregroundMark x1="42843" y1="87500" x2="13814" y2="88086"/>
                      <a14:foregroundMark x1="13814" y1="88086" x2="8108" y2="85156"/>
                      <a14:foregroundMark x1="8108" y1="85156" x2="3003" y2="78906"/>
                      <a14:foregroundMark x1="3003" y1="78906" x2="3103" y2="37891"/>
                      <a14:foregroundMark x1="18719" y1="66602" x2="24024" y2="61523"/>
                      <a14:foregroundMark x1="24024" y1="61523" x2="25526" y2="61328"/>
                      <a14:foregroundMark x1="26226" y1="68945" x2="26326" y2="70703"/>
                      <a14:foregroundMark x1="39540" y1="66602" x2="40040" y2="54297"/>
                      <a14:foregroundMark x1="40040" y1="54297" x2="38438" y2="51367"/>
                      <a14:foregroundMark x1="16316" y1="72656" x2="13113" y2="61719"/>
                      <a14:foregroundMark x1="13113" y1="61719" x2="14214" y2="59375"/>
                      <a14:foregroundMark x1="7808" y1="75586" x2="7808" y2="60352"/>
                      <a14:foregroundMark x1="8308" y1="48438" x2="7908" y2="46484"/>
                      <a14:foregroundMark x1="38238" y1="74023" x2="35235" y2="64648"/>
                      <a14:foregroundMark x1="35235" y1="64648" x2="35235" y2="64648"/>
                      <a14:foregroundMark x1="38639" y1="47656" x2="41141" y2="47656"/>
                      <a14:foregroundMark x1="39740" y1="89453" x2="17818" y2="93164"/>
                      <a14:foregroundMark x1="17818" y1="93164" x2="10410" y2="89453"/>
                      <a14:foregroundMark x1="43544" y1="77734" x2="43644" y2="63281"/>
                      <a14:foregroundMark x1="30931" y1="94531" x2="21722" y2="95703"/>
                      <a14:foregroundMark x1="32533" y1="5469" x2="25826" y2="2539"/>
                      <a14:foregroundMark x1="25826" y1="2539" x2="18318" y2="4297"/>
                      <a14:foregroundMark x1="18318" y1="4297" x2="25626" y2="7227"/>
                      <a14:foregroundMark x1="25626" y1="7227" x2="32032" y2="5664"/>
                      <a14:foregroundMark x1="14214" y1="56250" x2="16917" y2="56055"/>
                      <a14:foregroundMark x1="23323" y1="56055" x2="28529" y2="55273"/>
                      <a14:foregroundMark x1="28529" y1="55273" x2="30731" y2="69727"/>
                      <a14:foregroundMark x1="30631" y1="76563" x2="24925" y2="75977"/>
                      <a14:foregroundMark x1="24925" y1="75977" x2="24224" y2="67773"/>
                      <a14:foregroundMark x1="71872" y1="73828" x2="71572" y2="57031"/>
                      <a14:foregroundMark x1="86386" y1="75977" x2="89489" y2="59180"/>
                      <a14:foregroundMark x1="94094" y1="56055" x2="96997" y2="69531"/>
                    </a14:backgroundRemoval>
                  </a14:imgEffect>
                </a14:imgLayer>
              </a14:imgProps>
            </a:ext>
          </a:extLst>
        </a:blip>
        <a:srcRect l="500" t="782" b="1380"/>
        <a:stretch/>
      </xdr:blipFill>
      <xdr:spPr>
        <a:xfrm>
          <a:off x="10906124" y="1940719"/>
          <a:ext cx="1413573" cy="708108"/>
        </a:xfrm>
        <a:prstGeom prst="rect">
          <a:avLst/>
        </a:prstGeom>
      </xdr:spPr>
    </xdr:pic>
    <xdr:clientData/>
  </xdr:twoCellAnchor>
  <xdr:twoCellAnchor editAs="oneCell">
    <xdr:from>
      <xdr:col>1</xdr:col>
      <xdr:colOff>24425</xdr:colOff>
      <xdr:row>0</xdr:row>
      <xdr:rowOff>12212</xdr:rowOff>
    </xdr:from>
    <xdr:to>
      <xdr:col>2</xdr:col>
      <xdr:colOff>696059</xdr:colOff>
      <xdr:row>5</xdr:row>
      <xdr:rowOff>21998</xdr:rowOff>
    </xdr:to>
    <xdr:pic>
      <xdr:nvPicPr>
        <xdr:cNvPr id="9" name="Imagem 8">
          <a:extLst>
            <a:ext uri="{FF2B5EF4-FFF2-40B4-BE49-F238E27FC236}">
              <a16:creationId xmlns:a16="http://schemas.microsoft.com/office/drawing/2014/main" id="{C7B70AAF-599A-C13D-7D38-3E6009F5526F}"/>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99886" y="12212"/>
          <a:ext cx="984956" cy="101241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absolute">
    <xdr:from>
      <xdr:col>1</xdr:col>
      <xdr:colOff>33227</xdr:colOff>
      <xdr:row>1</xdr:row>
      <xdr:rowOff>45795</xdr:rowOff>
    </xdr:from>
    <xdr:to>
      <xdr:col>2</xdr:col>
      <xdr:colOff>664535</xdr:colOff>
      <xdr:row>2</xdr:row>
      <xdr:rowOff>67916</xdr:rowOff>
    </xdr:to>
    <xdr:pic>
      <xdr:nvPicPr>
        <xdr:cNvPr id="2" name="Imagem 1">
          <a:extLst>
            <a:ext uri="{FF2B5EF4-FFF2-40B4-BE49-F238E27FC236}">
              <a16:creationId xmlns:a16="http://schemas.microsoft.com/office/drawing/2014/main" id="{D20A09FA-CFB2-492C-3F52-66757747B4FB}"/>
            </a:ext>
          </a:extLst>
        </xdr:cNvPr>
        <xdr:cNvPicPr>
          <a:picLocks noChangeAspect="1"/>
        </xdr:cNvPicPr>
      </xdr:nvPicPr>
      <xdr:blipFill rotWithShape="1">
        <a:blip xmlns:r="http://schemas.openxmlformats.org/officeDocument/2006/relationships" r:embed="rId1">
          <a:extLst>
            <a:ext uri="{BEBA8EAE-BF5A-486C-A8C5-ECC9F3942E4B}">
              <a14:imgProps xmlns:a14="http://schemas.microsoft.com/office/drawing/2010/main">
                <a14:imgLayer r:embed="rId2">
                  <a14:imgEffect>
                    <a14:backgroundRemoval t="5469" b="95508" l="2903" r="96997">
                      <a14:foregroundMark x1="33333" y1="41406" x2="33233" y2="40820"/>
                      <a14:foregroundMark x1="32232" y1="40234" x2="27628" y2="34180"/>
                      <a14:foregroundMark x1="16517" y1="25391" x2="8408" y2="20117"/>
                      <a14:foregroundMark x1="8408" y1="20117" x2="3003" y2="36719"/>
                      <a14:foregroundMark x1="3003" y1="36719" x2="4104" y2="37305"/>
                      <a14:foregroundMark x1="24424" y1="44141" x2="16617" y2="28320"/>
                      <a14:foregroundMark x1="16617" y1="28320" x2="22823" y2="19141"/>
                      <a14:foregroundMark x1="22823" y1="19141" x2="32833" y2="25391"/>
                      <a14:foregroundMark x1="32833" y1="25391" x2="31832" y2="35547"/>
                      <a14:foregroundMark x1="31832" y1="35547" x2="23323" y2="35742"/>
                      <a14:foregroundMark x1="23323" y1="35742" x2="21522" y2="34570"/>
                      <a14:foregroundMark x1="47047" y1="33008" x2="43343" y2="13672"/>
                      <a14:foregroundMark x1="43343" y1="13672" x2="36537" y2="8398"/>
                      <a14:foregroundMark x1="36537" y1="8398" x2="9209" y2="11523"/>
                      <a14:foregroundMark x1="9209" y1="11523" x2="3303" y2="21875"/>
                      <a14:foregroundMark x1="3303" y1="21875" x2="2903" y2="35742"/>
                      <a14:foregroundMark x1="2903" y1="35742" x2="32132" y2="43164"/>
                      <a14:foregroundMark x1="32132" y1="43164" x2="41542" y2="38672"/>
                      <a14:foregroundMark x1="41542" y1="38672" x2="46647" y2="32617"/>
                      <a14:foregroundMark x1="46647" y1="32617" x2="46747" y2="32617"/>
                      <a14:foregroundMark x1="46647" y1="35156" x2="47347" y2="77734"/>
                      <a14:foregroundMark x1="47347" y1="77734" x2="42843" y2="87500"/>
                      <a14:foregroundMark x1="42843" y1="87500" x2="13814" y2="88086"/>
                      <a14:foregroundMark x1="13814" y1="88086" x2="8108" y2="85156"/>
                      <a14:foregroundMark x1="8108" y1="85156" x2="3003" y2="78906"/>
                      <a14:foregroundMark x1="3003" y1="78906" x2="3103" y2="37891"/>
                      <a14:foregroundMark x1="18719" y1="66602" x2="24024" y2="61523"/>
                      <a14:foregroundMark x1="24024" y1="61523" x2="25526" y2="61328"/>
                      <a14:foregroundMark x1="26226" y1="68945" x2="26326" y2="70703"/>
                      <a14:foregroundMark x1="39540" y1="66602" x2="40040" y2="54297"/>
                      <a14:foregroundMark x1="40040" y1="54297" x2="38438" y2="51367"/>
                      <a14:foregroundMark x1="16316" y1="72656" x2="13113" y2="61719"/>
                      <a14:foregroundMark x1="13113" y1="61719" x2="14214" y2="59375"/>
                      <a14:foregroundMark x1="7808" y1="75586" x2="7808" y2="60352"/>
                      <a14:foregroundMark x1="8308" y1="48438" x2="7908" y2="46484"/>
                      <a14:foregroundMark x1="38238" y1="74023" x2="35235" y2="64648"/>
                      <a14:foregroundMark x1="35235" y1="64648" x2="35235" y2="64648"/>
                      <a14:foregroundMark x1="38639" y1="47656" x2="41141" y2="47656"/>
                      <a14:foregroundMark x1="39740" y1="89453" x2="17818" y2="93164"/>
                      <a14:foregroundMark x1="17818" y1="93164" x2="10410" y2="89453"/>
                      <a14:foregroundMark x1="43544" y1="77734" x2="43644" y2="63281"/>
                      <a14:foregroundMark x1="30931" y1="94531" x2="21722" y2="95703"/>
                      <a14:foregroundMark x1="32533" y1="5469" x2="25826" y2="2539"/>
                      <a14:foregroundMark x1="25826" y1="2539" x2="18318" y2="4297"/>
                      <a14:foregroundMark x1="18318" y1="4297" x2="25626" y2="7227"/>
                      <a14:foregroundMark x1="25626" y1="7227" x2="32032" y2="5664"/>
                      <a14:foregroundMark x1="14214" y1="56250" x2="16917" y2="56055"/>
                      <a14:foregroundMark x1="23323" y1="56055" x2="28529" y2="55273"/>
                      <a14:foregroundMark x1="28529" y1="55273" x2="30731" y2="69727"/>
                      <a14:foregroundMark x1="30631" y1="76563" x2="24925" y2="75977"/>
                      <a14:foregroundMark x1="24925" y1="75977" x2="24224" y2="67773"/>
                      <a14:foregroundMark x1="71872" y1="73828" x2="71572" y2="57031"/>
                      <a14:foregroundMark x1="86386" y1="75977" x2="89489" y2="59180"/>
                      <a14:foregroundMark x1="94094" y1="56055" x2="96997" y2="69531"/>
                    </a14:backgroundRemoval>
                  </a14:imgEffect>
                </a14:imgLayer>
              </a14:imgProps>
            </a:ext>
          </a:extLst>
        </a:blip>
        <a:srcRect l="500" t="782" b="1380"/>
        <a:stretch/>
      </xdr:blipFill>
      <xdr:spPr>
        <a:xfrm>
          <a:off x="343343" y="234080"/>
          <a:ext cx="1351221" cy="675580"/>
        </a:xfrm>
        <a:prstGeom prst="rect">
          <a:avLst/>
        </a:prstGeom>
      </xdr:spPr>
    </xdr:pic>
    <xdr:clientData/>
  </xdr:twoCellAnchor>
  <xdr:twoCellAnchor editAs="oneCell">
    <xdr:from>
      <xdr:col>9</xdr:col>
      <xdr:colOff>3410051</xdr:colOff>
      <xdr:row>1</xdr:row>
      <xdr:rowOff>178703</xdr:rowOff>
    </xdr:from>
    <xdr:to>
      <xdr:col>9</xdr:col>
      <xdr:colOff>4395007</xdr:colOff>
      <xdr:row>4</xdr:row>
      <xdr:rowOff>161092</xdr:rowOff>
    </xdr:to>
    <xdr:pic>
      <xdr:nvPicPr>
        <xdr:cNvPr id="3" name="Imagem 2">
          <a:extLst>
            <a:ext uri="{FF2B5EF4-FFF2-40B4-BE49-F238E27FC236}">
              <a16:creationId xmlns:a16="http://schemas.microsoft.com/office/drawing/2014/main" id="{422D0020-9676-42AD-BED0-CD2042B0429C}"/>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3455603" y="366988"/>
          <a:ext cx="984956" cy="1012418"/>
        </a:xfrm>
        <a:prstGeom prst="rect">
          <a:avLst/>
        </a:prstGeom>
      </xdr:spPr>
    </xdr:pic>
    <xdr:clientData/>
  </xdr:twoCellAnchor>
  <xdr:twoCellAnchor>
    <xdr:from>
      <xdr:col>9</xdr:col>
      <xdr:colOff>1384449</xdr:colOff>
      <xdr:row>3</xdr:row>
      <xdr:rowOff>121830</xdr:rowOff>
    </xdr:from>
    <xdr:to>
      <xdr:col>9</xdr:col>
      <xdr:colOff>2525234</xdr:colOff>
      <xdr:row>5</xdr:row>
      <xdr:rowOff>44300</xdr:rowOff>
    </xdr:to>
    <xdr:sp macro="[0]!Gerar_arquivo_TED" textlink="">
      <xdr:nvSpPr>
        <xdr:cNvPr id="4" name="Retângulo: Cantos Arredondados 3">
          <a:extLst>
            <a:ext uri="{FF2B5EF4-FFF2-40B4-BE49-F238E27FC236}">
              <a16:creationId xmlns:a16="http://schemas.microsoft.com/office/drawing/2014/main" id="{4E86A483-C75C-4764-9AEC-5FE6663FEB1D}"/>
            </a:ext>
          </a:extLst>
        </xdr:cNvPr>
        <xdr:cNvSpPr/>
      </xdr:nvSpPr>
      <xdr:spPr>
        <a:xfrm>
          <a:off x="11430001" y="1151859"/>
          <a:ext cx="1140785" cy="354418"/>
        </a:xfrm>
        <a:prstGeom prst="roundRect">
          <a:avLst/>
        </a:prstGeom>
        <a:solidFill>
          <a:srgbClr val="FFC00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tx1">
                  <a:lumMod val="75000"/>
                  <a:lumOff val="25000"/>
                </a:schemeClr>
              </a:solidFill>
            </a:rPr>
            <a:t>GERAR ARQUIVO</a:t>
          </a:r>
        </a:p>
      </xdr:txBody>
    </xdr:sp>
    <xdr:clientData/>
  </xdr:twoCellAnchor>
</xdr:wsDr>
</file>

<file path=xl/drawings/drawing3.xml><?xml version="1.0" encoding="utf-8"?>
<xdr:wsDr xmlns:xdr="http://schemas.openxmlformats.org/drawingml/2006/spreadsheetDrawing" xmlns:a="http://schemas.openxmlformats.org/drawingml/2006/main">
  <xdr:twoCellAnchor editAs="absolute">
    <xdr:from>
      <xdr:col>1</xdr:col>
      <xdr:colOff>33227</xdr:colOff>
      <xdr:row>1</xdr:row>
      <xdr:rowOff>45795</xdr:rowOff>
    </xdr:from>
    <xdr:to>
      <xdr:col>2</xdr:col>
      <xdr:colOff>664535</xdr:colOff>
      <xdr:row>2</xdr:row>
      <xdr:rowOff>67916</xdr:rowOff>
    </xdr:to>
    <xdr:pic>
      <xdr:nvPicPr>
        <xdr:cNvPr id="2" name="Imagem 1">
          <a:extLst>
            <a:ext uri="{FF2B5EF4-FFF2-40B4-BE49-F238E27FC236}">
              <a16:creationId xmlns:a16="http://schemas.microsoft.com/office/drawing/2014/main" id="{001C20D7-FFCA-47A4-9F5A-3A9636A4D052}"/>
            </a:ext>
          </a:extLst>
        </xdr:cNvPr>
        <xdr:cNvPicPr>
          <a:picLocks noChangeAspect="1"/>
        </xdr:cNvPicPr>
      </xdr:nvPicPr>
      <xdr:blipFill rotWithShape="1">
        <a:blip xmlns:r="http://schemas.openxmlformats.org/officeDocument/2006/relationships" r:embed="rId1">
          <a:extLst>
            <a:ext uri="{BEBA8EAE-BF5A-486C-A8C5-ECC9F3942E4B}">
              <a14:imgProps xmlns:a14="http://schemas.microsoft.com/office/drawing/2010/main">
                <a14:imgLayer r:embed="rId2">
                  <a14:imgEffect>
                    <a14:backgroundRemoval t="5469" b="95508" l="2903" r="96997">
                      <a14:foregroundMark x1="33333" y1="41406" x2="33233" y2="40820"/>
                      <a14:foregroundMark x1="32232" y1="40234" x2="27628" y2="34180"/>
                      <a14:foregroundMark x1="16517" y1="25391" x2="8408" y2="20117"/>
                      <a14:foregroundMark x1="8408" y1="20117" x2="3003" y2="36719"/>
                      <a14:foregroundMark x1="3003" y1="36719" x2="4104" y2="37305"/>
                      <a14:foregroundMark x1="24424" y1="44141" x2="16617" y2="28320"/>
                      <a14:foregroundMark x1="16617" y1="28320" x2="22823" y2="19141"/>
                      <a14:foregroundMark x1="22823" y1="19141" x2="32833" y2="25391"/>
                      <a14:foregroundMark x1="32833" y1="25391" x2="31832" y2="35547"/>
                      <a14:foregroundMark x1="31832" y1="35547" x2="23323" y2="35742"/>
                      <a14:foregroundMark x1="23323" y1="35742" x2="21522" y2="34570"/>
                      <a14:foregroundMark x1="47047" y1="33008" x2="43343" y2="13672"/>
                      <a14:foregroundMark x1="43343" y1="13672" x2="36537" y2="8398"/>
                      <a14:foregroundMark x1="36537" y1="8398" x2="9209" y2="11523"/>
                      <a14:foregroundMark x1="9209" y1="11523" x2="3303" y2="21875"/>
                      <a14:foregroundMark x1="3303" y1="21875" x2="2903" y2="35742"/>
                      <a14:foregroundMark x1="2903" y1="35742" x2="32132" y2="43164"/>
                      <a14:foregroundMark x1="32132" y1="43164" x2="41542" y2="38672"/>
                      <a14:foregroundMark x1="41542" y1="38672" x2="46647" y2="32617"/>
                      <a14:foregroundMark x1="46647" y1="32617" x2="46747" y2="32617"/>
                      <a14:foregroundMark x1="46647" y1="35156" x2="47347" y2="77734"/>
                      <a14:foregroundMark x1="47347" y1="77734" x2="42843" y2="87500"/>
                      <a14:foregroundMark x1="42843" y1="87500" x2="13814" y2="88086"/>
                      <a14:foregroundMark x1="13814" y1="88086" x2="8108" y2="85156"/>
                      <a14:foregroundMark x1="8108" y1="85156" x2="3003" y2="78906"/>
                      <a14:foregroundMark x1="3003" y1="78906" x2="3103" y2="37891"/>
                      <a14:foregroundMark x1="18719" y1="66602" x2="24024" y2="61523"/>
                      <a14:foregroundMark x1="24024" y1="61523" x2="25526" y2="61328"/>
                      <a14:foregroundMark x1="26226" y1="68945" x2="26326" y2="70703"/>
                      <a14:foregroundMark x1="39540" y1="66602" x2="40040" y2="54297"/>
                      <a14:foregroundMark x1="40040" y1="54297" x2="38438" y2="51367"/>
                      <a14:foregroundMark x1="16316" y1="72656" x2="13113" y2="61719"/>
                      <a14:foregroundMark x1="13113" y1="61719" x2="14214" y2="59375"/>
                      <a14:foregroundMark x1="7808" y1="75586" x2="7808" y2="60352"/>
                      <a14:foregroundMark x1="8308" y1="48438" x2="7908" y2="46484"/>
                      <a14:foregroundMark x1="38238" y1="74023" x2="35235" y2="64648"/>
                      <a14:foregroundMark x1="35235" y1="64648" x2="35235" y2="64648"/>
                      <a14:foregroundMark x1="38639" y1="47656" x2="41141" y2="47656"/>
                      <a14:foregroundMark x1="39740" y1="89453" x2="17818" y2="93164"/>
                      <a14:foregroundMark x1="17818" y1="93164" x2="10410" y2="89453"/>
                      <a14:foregroundMark x1="43544" y1="77734" x2="43644" y2="63281"/>
                      <a14:foregroundMark x1="30931" y1="94531" x2="21722" y2="95703"/>
                      <a14:foregroundMark x1="32533" y1="5469" x2="25826" y2="2539"/>
                      <a14:foregroundMark x1="25826" y1="2539" x2="18318" y2="4297"/>
                      <a14:foregroundMark x1="18318" y1="4297" x2="25626" y2="7227"/>
                      <a14:foregroundMark x1="25626" y1="7227" x2="32032" y2="5664"/>
                      <a14:foregroundMark x1="14214" y1="56250" x2="16917" y2="56055"/>
                      <a14:foregroundMark x1="23323" y1="56055" x2="28529" y2="55273"/>
                      <a14:foregroundMark x1="28529" y1="55273" x2="30731" y2="69727"/>
                      <a14:foregroundMark x1="30631" y1="76563" x2="24925" y2="75977"/>
                      <a14:foregroundMark x1="24925" y1="75977" x2="24224" y2="67773"/>
                      <a14:foregroundMark x1="71872" y1="73828" x2="71572" y2="57031"/>
                      <a14:foregroundMark x1="86386" y1="75977" x2="89489" y2="59180"/>
                      <a14:foregroundMark x1="94094" y1="56055" x2="96997" y2="69531"/>
                    </a14:backgroundRemoval>
                  </a14:imgEffect>
                </a14:imgLayer>
              </a14:imgProps>
            </a:ext>
          </a:extLst>
        </a:blip>
        <a:srcRect l="500" t="782" b="1380"/>
        <a:stretch/>
      </xdr:blipFill>
      <xdr:spPr>
        <a:xfrm>
          <a:off x="347552" y="236295"/>
          <a:ext cx="1345683" cy="679346"/>
        </a:xfrm>
        <a:prstGeom prst="rect">
          <a:avLst/>
        </a:prstGeom>
      </xdr:spPr>
    </xdr:pic>
    <xdr:clientData/>
  </xdr:twoCellAnchor>
  <xdr:twoCellAnchor editAs="oneCell">
    <xdr:from>
      <xdr:col>9</xdr:col>
      <xdr:colOff>3410051</xdr:colOff>
      <xdr:row>1</xdr:row>
      <xdr:rowOff>178703</xdr:rowOff>
    </xdr:from>
    <xdr:to>
      <xdr:col>9</xdr:col>
      <xdr:colOff>4395007</xdr:colOff>
      <xdr:row>4</xdr:row>
      <xdr:rowOff>161092</xdr:rowOff>
    </xdr:to>
    <xdr:pic>
      <xdr:nvPicPr>
        <xdr:cNvPr id="3" name="Imagem 2">
          <a:extLst>
            <a:ext uri="{FF2B5EF4-FFF2-40B4-BE49-F238E27FC236}">
              <a16:creationId xmlns:a16="http://schemas.microsoft.com/office/drawing/2014/main" id="{6C4EA0DA-BEC4-4EC6-88D4-833CBF34299C}"/>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3439876" y="369203"/>
          <a:ext cx="984956" cy="1020614"/>
        </a:xfrm>
        <a:prstGeom prst="rect">
          <a:avLst/>
        </a:prstGeom>
      </xdr:spPr>
    </xdr:pic>
    <xdr:clientData/>
  </xdr:twoCellAnchor>
  <xdr:twoCellAnchor>
    <xdr:from>
      <xdr:col>9</xdr:col>
      <xdr:colOff>1384449</xdr:colOff>
      <xdr:row>3</xdr:row>
      <xdr:rowOff>121830</xdr:rowOff>
    </xdr:from>
    <xdr:to>
      <xdr:col>9</xdr:col>
      <xdr:colOff>2525234</xdr:colOff>
      <xdr:row>5</xdr:row>
      <xdr:rowOff>44300</xdr:rowOff>
    </xdr:to>
    <xdr:sp macro="[0]!Gerar_arquivo_ITAU" textlink="">
      <xdr:nvSpPr>
        <xdr:cNvPr id="4" name="Retângulo: Cantos Arredondados 3">
          <a:extLst>
            <a:ext uri="{FF2B5EF4-FFF2-40B4-BE49-F238E27FC236}">
              <a16:creationId xmlns:a16="http://schemas.microsoft.com/office/drawing/2014/main" id="{444BF657-E059-4B74-A93A-E439EC1077CA}"/>
            </a:ext>
          </a:extLst>
        </xdr:cNvPr>
        <xdr:cNvSpPr/>
      </xdr:nvSpPr>
      <xdr:spPr>
        <a:xfrm>
          <a:off x="11414274" y="1160055"/>
          <a:ext cx="1140785" cy="351095"/>
        </a:xfrm>
        <a:prstGeom prst="roundRect">
          <a:avLst/>
        </a:prstGeom>
        <a:solidFill>
          <a:srgbClr val="FFC00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tx1">
                  <a:lumMod val="75000"/>
                  <a:lumOff val="25000"/>
                </a:schemeClr>
              </a:solidFill>
            </a:rPr>
            <a:t>GERAR ARQUIVO</a:t>
          </a:r>
        </a:p>
      </xdr:txBody>
    </xdr:sp>
    <xdr:clientData/>
  </xdr:twoCellAnchor>
</xdr:wsDr>
</file>

<file path=xl/persons/person.xml><?xml version="1.0" encoding="utf-8"?>
<personList xmlns="http://schemas.microsoft.com/office/spreadsheetml/2018/threadedcomments" xmlns:x="http://schemas.openxmlformats.org/spreadsheetml/2006/main">
  <person displayName="Thiago Gomes Ziolkowski" id="{90D0F8D1-EB6D-4714-A4A0-D9DA2493F734}" userId="8b02c1ebb02bb2fb" providerId="Windows Live"/>
  <person displayName="Thiago Ziolkowski" id="{C7AE0438-0184-4C09-81BE-4B09B77D5D46}" userId="Thiago Ziolkowski" providerId="None"/>
</personList>
</file>

<file path=xl/theme/theme1.xml><?xml version="1.0" encoding="utf-8"?>
<a:theme xmlns:a="http://schemas.openxmlformats.org/drawingml/2006/main" name="Tema do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I16" dT="2024-03-19T15:03:41.04" personId="{C7AE0438-0184-4C09-81BE-4B09B77D5D46}" id="{E2DC0132-D1F5-4A82-883E-DFB5AA4ABE10}">
    <text>DAC É O DÍGITO DA CONTA</text>
  </threadedComment>
  <threadedComment ref="I21" dT="2024-03-19T15:06:50.78" personId="{C7AE0438-0184-4C09-81BE-4B09B77D5D46}" id="{8AD1DC22-6DC2-421A-BACD-B4EAAC15C68A}">
    <text>INSERIR FORMULA PARA PEGAR DATA ATUAL E APLICAR O FORMATO ESPECIFICADO</text>
  </threadedComment>
  <threadedComment ref="I22" dT="2024-03-19T15:07:21.13" personId="{C7AE0438-0184-4C09-81BE-4B09B77D5D46}" id="{FBC55F6C-1913-4082-848D-CF61907D5D3F}">
    <text>INSERIR FORMULA PARA PEGAR HORA ATUAL E APLICAR O FORMATO ESPECIFICADO</text>
  </threadedComment>
  <threadedComment ref="I24" dT="2024-03-19T19:02:59.41" personId="{C7AE0438-0184-4C09-81BE-4B09B77D5D46}" id="{432E52DF-290F-4774-8034-840ED26DF689}">
    <text xml:space="preserve">Para teleprocessamento esse campo deverá conter zeros. </text>
  </threadedComment>
</ThreadedComments>
</file>

<file path=xl/threadedComments/threadedComment2.xml><?xml version="1.0" encoding="utf-8"?>
<ThreadedComments xmlns="http://schemas.microsoft.com/office/spreadsheetml/2018/threadedcomments" xmlns:x="http://schemas.openxmlformats.org/spreadsheetml/2006/main">
  <threadedComment ref="I5" dT="2024-03-19T16:33:40.96" personId="{C7AE0438-0184-4C09-81BE-4B09B77D5D46}" id="{AC1B00EC-3AF0-47C1-81A1-F40D56A2EB72}">
    <text xml:space="preserve">CÓDIGO DO LOTE 
Identifica o Lote de Pagamentos. 
É SEQUENCIAL, iniciando-se em 0001. Todos os pagamentos de um lote devem ter o mesmo "Código de Lote". </text>
  </threadedComment>
  <threadedComment ref="I8" dT="2024-03-19T16:32:47.12" personId="{C7AE0438-0184-4C09-81BE-4B09B77D5D46}" id="{50116378-811E-40D3-8BAE-399D3C20BB70}">
    <text xml:space="preserve">10  DIVIDENDOS 
15  DEBÊNTURES 
20  FORNECEDORES 
22  TRIBUTOS 
30  SALÁRIOS 
40  FUNDOS DE INVESTIMENTOS 
50  SINISTROS DE SEGUROS 
60  DESPESAS VIAJANTE EM TRÂNSITO 
80  REPRESENTANTES AUTORIZADOS 
90  BENEFÍCIOS 
98  DIVERSOS 
</text>
  </threadedComment>
  <threadedComment ref="I9" dT="2024-03-19T16:32:47.12" personId="{C7AE0438-0184-4C09-81BE-4B09B77D5D46}" id="{BD68F5FE-A38D-478A-A26F-72051EDD8EB5}">
    <text xml:space="preserve">01 CRÉDITO EM CONTA CORRENTE NO ITAÚ 
02 CHEQUE PAGAMENTO/ADMINISTRATIVO 
03 DOC “C” 
05 CRÉDITO EM CONTA POUPANÇA NO ITAÚ 
06 CRÉDITO EM CONTA CORRENTE DE MESMA TITULARIDADE 
07 DOC “D” 
10 ORDEM DE PAGAMENTO À DISPOSIÇÃO 
13 PAGAMENTO DE CONCESSIONÁRIAS 
16 DARF NORMAL 
17 GPS - GUIA DA PREVIDÊNCIA SOCIAL 
18 DARF SIMPLES 
19 IPTU/ISS/OUTROS TRIBUTOS MUNICIPAIS 
22 GARE – SP ICMS 
25 IPVA 
27 DPVAT 
30 PAGAMENTO DE TÍTULOS EM COBRANÇA NO ITAÚ 
31 PAGAMENTO DE TÍTULOS EM COBRANÇA EM OUTROS BANCOS 
32 NOTA FISCAL – LIQUIDAÇÃO ELETRÔNICA 
35 FGTS 
41 TED – OUTRO TITULAR 
43 TED – MESMO TITULAR </text>
  </threadedComment>
  <threadedComment ref="I14" dT="2024-03-19T18:58:16.26" personId="{C7AE0438-0184-4C09-81BE-4B09B77D5D46}" id="{E7DF380A-3D63-4C5E-B4F5-7B6692D61DBA}">
    <text xml:space="preserve">Não tendo sido acertado a sua utilização este campo deverá ser preenchido com brancos </text>
  </threadedComment>
  <threadedComment ref="I22" dT="2024-03-19T18:59:18.26" personId="{C7AE0438-0184-4C09-81BE-4B09B77D5D46}" id="{13250E9F-20F9-48E0-824C-8D71F767D75E}">
    <text xml:space="preserve">Não tendo sido acertada a sua utilização, este campo deverá ser obrigatoriamente preenchido com brancos. </text>
  </threadedComment>
  <threadedComment ref="I23" dT="2024-03-19T18:59:18.26" personId="{C7AE0438-0184-4C09-81BE-4B09B77D5D46}" id="{97ABCFF8-7EE8-41F5-8198-EA8201903482}">
    <text xml:space="preserve">Não tendo sido acertada a sua utilização, este campo deverá ser obrigatoriamente preenchido com brancos. </text>
  </threadedComment>
</ThreadedComments>
</file>

<file path=xl/threadedComments/threadedComment3.xml><?xml version="1.0" encoding="utf-8"?>
<ThreadedComments xmlns="http://schemas.microsoft.com/office/spreadsheetml/2018/threadedcomments" xmlns:x="http://schemas.openxmlformats.org/spreadsheetml/2006/main">
  <threadedComment ref="I7" dT="2024-03-24T17:39:28.29" personId="{90D0F8D1-EB6D-4714-A4A0-D9DA2493F734}" id="{DAFF1F75-D9D0-4164-B5D9-23B875BA3B6B}">
    <text>Número sequencial de cada lançamento</text>
  </threadedComment>
  <threadedComment ref="I9" dT="2024-03-19T18:45:09.51" personId="{C7AE0438-0184-4C09-81BE-4B09B77D5D46}" id="{96B70D70-21AB-4708-B780-7612BBC99D8E}">
    <text xml:space="preserve">000 	Inclusão de pagamento 
</text>
  </threadedComment>
  <threadedComment ref="I10" dT="2024-03-19T18:49:03.82" personId="{C7AE0438-0184-4C09-81BE-4B09B77D5D46}" id="{86382561-7B84-4C22-9438-A24349B1D43F}">
    <text xml:space="preserve">“009” – PIX (SPI)
Para pagamento através de PIX Transferência deve ser informado no segmento ‘A’ (posição 18 a 20) </text>
  </threadedComment>
  <threadedComment ref="I18" dT="2024-03-19T18:50:42.01" personId="{C7AE0438-0184-4C09-81BE-4B09B77D5D46}" id="{2259E613-CCF8-4EF7-8434-C4D18F419925}">
    <text xml:space="preserve">01  Conta corrente 
PG Conta Pagamento 
03  Conta Poupança 
04  Chave Pix 
IDENTIFICAÇÃO DO TIPO DE TRANSFERÊNCIA 
Quando se tratar de uma transferência via PIX (“Código de Compensação 009”), deve ser informado nas posições 113 a 114 o tipo de transferência: 
</text>
  </threadedComment>
  <threadedComment ref="I21" dT="2024-03-19T18:51:25.99" personId="{C7AE0438-0184-4C09-81BE-4B09B77D5D46}" id="{D969636B-7959-4A1F-86E4-808835F164F6}">
    <text xml:space="preserve">Na inclusão de um novo pagamento, deve ser preenchido com brancos. </text>
  </threadedComment>
  <threadedComment ref="I25" dT="2024-03-19T18:52:02.24" personId="{C7AE0438-0184-4C09-81BE-4B09B77D5D46}" id="{93EB0475-F687-49E1-9FDF-EF07EF48CE7A}">
    <text xml:space="preserve">Não tendo sido acertado a sua utilização este campo deverá ser preenchido com brancos. </text>
  </threadedComment>
  <threadedComment ref="I26" dT="2024-03-19T18:52:47.64" personId="{C7AE0438-0184-4C09-81BE-4B09B77D5D46}" id="{E127F2A2-B60E-4104-B4E3-51A2BE41FA6B}">
    <text xml:space="preserve">O número do documento é atribuído no agendamento / efetivação do pagamento e informado no arquivo retorno. </text>
  </threadedComment>
  <threadedComment ref="I28" dT="2024-03-19T18:53:41.64" personId="{C7AE0438-0184-4C09-81BE-4B09B77D5D46}" id="{3F325B07-23F1-45A7-85A0-037AB497C5EF}">
    <text>EXCLUSIVO PARA DOC</text>
  </threadedComment>
  <threadedComment ref="I29" dT="2024-03-19T18:55:24.82" personId="{C7AE0438-0184-4C09-81BE-4B09B77D5D46}" id="{B1EC79BF-F4D7-4C98-9F20-A7746D4AD2B6}">
    <text xml:space="preserve">Caso o campo não seja preenchido ou não apresente um conteúdo válido, será assumido o código “00010 – Crédito em Conta Corrente ou Conta Poupança”. </text>
  </threadedComment>
  <threadedComment ref="I31" dT="2024-03-19T18:56:06.20" personId="{C7AE0438-0184-4C09-81BE-4B09B77D5D46}" id="{534A9616-2E70-484D-8B6F-34E5FA06D6F5}">
    <text xml:space="preserve">Se igual a ‘0’ não emite aviso ao favorecido </text>
  </threadedComment>
</ThreadedComments>
</file>

<file path=xl/threadedComments/threadedComment4.xml><?xml version="1.0" encoding="utf-8"?>
<ThreadedComments xmlns="http://schemas.microsoft.com/office/spreadsheetml/2018/threadedcomments" xmlns:x="http://schemas.openxmlformats.org/spreadsheetml/2006/main">
  <threadedComment ref="I8" dT="2024-03-26T16:12:28.06" personId="{C7AE0438-0184-4C09-81BE-4B09B77D5D46}" id="{E5BCEA96-5DFE-4DE1-9AC6-4EA13558FA97}">
    <text>01 - Header
?? - Registros
01 - Trailer</text>
  </threadedComment>
</ThreadedComments>
</file>

<file path=xl/threadedComments/threadedComment5.xml><?xml version="1.0" encoding="utf-8"?>
<ThreadedComments xmlns="http://schemas.microsoft.com/office/spreadsheetml/2018/threadedcomments" xmlns:x="http://schemas.openxmlformats.org/spreadsheetml/2006/main">
  <threadedComment ref="I8" dT="2024-03-19T18:37:26.92" personId="{C7AE0438-0184-4C09-81BE-4B09B77D5D46}" id="{F34D3B53-4C94-4D18-A631-38F9A2240E3F}">
    <text>NESTE CASO SERÁ GERADO APENAS UM LOTE COM A FINALIDADE DE PAGAMENTO DE SALÁRIOS, FICANDO ASSIM PADRÃO EM "1"</text>
  </threadedComment>
</ThreadedComments>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microsoft.com/office/2017/10/relationships/threadedComment" Target="../threadedComments/threadedComment1.xml"/><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5.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6.xml.rels><?xml version="1.0" encoding="UTF-8" standalone="yes"?>
<Relationships xmlns="http://schemas.openxmlformats.org/package/2006/relationships"><Relationship Id="rId3" Type="http://schemas.microsoft.com/office/2017/10/relationships/threadedComment" Target="../threadedComments/threadedComment3.xml"/><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7.xml.rels><?xml version="1.0" encoding="UTF-8" standalone="yes"?>
<Relationships xmlns="http://schemas.openxmlformats.org/package/2006/relationships"><Relationship Id="rId3" Type="http://schemas.microsoft.com/office/2017/10/relationships/threadedComment" Target="../threadedComments/threadedComment4.xml"/><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3" Type="http://schemas.microsoft.com/office/2017/10/relationships/threadedComment" Target="../threadedComments/threadedComment5.xml"/><Relationship Id="rId2" Type="http://schemas.openxmlformats.org/officeDocument/2006/relationships/comments" Target="../comments5.xml"/><Relationship Id="rId1" Type="http://schemas.openxmlformats.org/officeDocument/2006/relationships/vmlDrawing" Target="../drawings/vmlDrawing5.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CF30C1-8C02-45AE-8C74-5E39E6FE7B20}">
  <sheetPr codeName="Planilha3">
    <tabColor rgb="FFC00000"/>
  </sheetPr>
  <dimension ref="A1:AC61"/>
  <sheetViews>
    <sheetView showGridLines="0" showRowColHeaders="0" tabSelected="1" zoomScale="76" zoomScaleNormal="76" workbookViewId="0">
      <pane ySplit="6" topLeftCell="A7" activePane="bottomLeft" state="frozenSplit"/>
      <selection pane="bottomLeft" activeCell="E19" sqref="E19:F19"/>
    </sheetView>
  </sheetViews>
  <sheetFormatPr defaultColWidth="0" defaultRowHeight="15" zeroHeight="1" x14ac:dyDescent="0.25"/>
  <cols>
    <col min="1" max="1" width="2.7109375" style="22" customWidth="1"/>
    <col min="2" max="2" width="4.7109375" style="22" customWidth="1"/>
    <col min="3" max="24" width="10.7109375" style="22" customWidth="1"/>
    <col min="25" max="25" width="4.7109375" style="22" customWidth="1"/>
    <col min="26" max="26" width="2.7109375" customWidth="1"/>
    <col min="27" max="16384" width="9.140625" hidden="1"/>
  </cols>
  <sheetData>
    <row r="1" spans="1:29" x14ac:dyDescent="0.25">
      <c r="A1" s="10"/>
      <c r="B1" s="80">
        <f ca="1">TODAY()</f>
        <v>45408</v>
      </c>
      <c r="C1" s="80"/>
      <c r="D1" s="80"/>
      <c r="E1" s="80"/>
      <c r="F1" s="80"/>
      <c r="G1" s="80"/>
      <c r="H1" s="80"/>
      <c r="I1" s="80"/>
      <c r="J1" s="80"/>
      <c r="K1" s="80"/>
      <c r="L1" s="80"/>
      <c r="M1" s="80"/>
      <c r="N1" s="80"/>
      <c r="O1" s="80"/>
      <c r="P1" s="80"/>
      <c r="Q1" s="80"/>
      <c r="R1" s="80"/>
      <c r="S1" s="80"/>
      <c r="T1" s="80"/>
      <c r="U1" s="80"/>
      <c r="V1" s="80"/>
      <c r="W1" s="80"/>
      <c r="X1" s="80"/>
      <c r="Y1" s="80"/>
      <c r="Z1" s="80"/>
    </row>
    <row r="2" spans="1:29" ht="15.75" customHeight="1" x14ac:dyDescent="0.25">
      <c r="A2" s="10"/>
      <c r="B2" s="10"/>
      <c r="C2" s="10"/>
      <c r="D2" s="10"/>
      <c r="E2" s="10"/>
      <c r="F2" s="10"/>
      <c r="G2" s="18"/>
      <c r="H2" s="10"/>
      <c r="I2" s="10"/>
      <c r="J2" s="10"/>
      <c r="K2" s="10"/>
      <c r="L2" s="10"/>
      <c r="M2" s="10"/>
      <c r="N2" s="10"/>
      <c r="O2" s="10"/>
      <c r="P2" s="10"/>
      <c r="Q2" s="10"/>
      <c r="R2" s="10"/>
      <c r="S2" s="10"/>
      <c r="T2" s="10"/>
      <c r="U2" s="10"/>
      <c r="V2" s="10"/>
      <c r="W2" s="10"/>
      <c r="X2" s="10"/>
      <c r="Y2" s="10"/>
      <c r="Z2" s="10"/>
    </row>
    <row r="3" spans="1:29" x14ac:dyDescent="0.25">
      <c r="A3" s="10"/>
      <c r="B3" s="10"/>
      <c r="C3" s="10"/>
      <c r="D3" s="10"/>
      <c r="E3" s="10"/>
      <c r="F3" s="10"/>
      <c r="G3" s="10"/>
      <c r="H3" s="10"/>
      <c r="I3" s="10"/>
      <c r="J3" s="10"/>
      <c r="K3" s="10"/>
      <c r="L3" s="10"/>
      <c r="M3" s="10"/>
      <c r="N3" s="10"/>
      <c r="O3" s="10"/>
      <c r="P3" s="10"/>
      <c r="Q3" s="10"/>
      <c r="R3" s="10"/>
      <c r="S3" s="10"/>
      <c r="T3" s="10"/>
      <c r="U3" s="10"/>
      <c r="V3" s="10"/>
      <c r="W3" s="10"/>
      <c r="X3" s="10"/>
      <c r="Y3" s="10"/>
      <c r="Z3" s="10"/>
    </row>
    <row r="4" spans="1:29" x14ac:dyDescent="0.25">
      <c r="A4" s="12"/>
      <c r="B4" s="12"/>
      <c r="C4" s="12"/>
      <c r="D4" s="12"/>
      <c r="E4" s="12"/>
      <c r="F4" s="12"/>
      <c r="G4" s="12"/>
      <c r="H4" s="12"/>
      <c r="I4" s="12"/>
      <c r="J4" s="12"/>
      <c r="K4" s="12"/>
      <c r="L4" s="12"/>
      <c r="M4" s="12"/>
      <c r="N4" s="12"/>
      <c r="O4" s="12"/>
      <c r="P4" s="12"/>
      <c r="Q4" s="12"/>
      <c r="R4" s="12"/>
      <c r="S4" s="12"/>
      <c r="T4" s="12"/>
      <c r="U4" s="12"/>
      <c r="V4" s="12"/>
      <c r="W4" s="12"/>
      <c r="X4" s="12"/>
      <c r="Y4" s="12"/>
      <c r="Z4" s="12"/>
    </row>
    <row r="5" spans="1:29" s="15" customFormat="1" ht="18.75" x14ac:dyDescent="0.3">
      <c r="A5" s="14"/>
      <c r="B5" s="14"/>
      <c r="C5" s="12"/>
      <c r="D5" s="19"/>
      <c r="E5" s="19"/>
      <c r="F5" s="79" t="s">
        <v>249</v>
      </c>
      <c r="G5" s="79"/>
      <c r="H5" s="79"/>
      <c r="I5" s="79"/>
      <c r="J5" s="79"/>
      <c r="K5" s="79"/>
      <c r="L5" s="79"/>
      <c r="M5" s="79"/>
      <c r="N5" s="79"/>
      <c r="O5" s="79"/>
      <c r="P5" s="79"/>
      <c r="Q5" s="79"/>
      <c r="R5" s="79"/>
      <c r="S5" s="79"/>
      <c r="T5" s="79"/>
      <c r="U5" s="14"/>
      <c r="V5" s="14"/>
      <c r="W5" s="14"/>
      <c r="X5" s="14"/>
      <c r="Y5" s="14"/>
      <c r="Z5" s="14"/>
    </row>
    <row r="6" spans="1:29" x14ac:dyDescent="0.25">
      <c r="A6" s="12"/>
      <c r="B6" s="12"/>
      <c r="C6" s="12"/>
      <c r="D6" s="13"/>
      <c r="E6" s="13"/>
      <c r="F6" s="13"/>
      <c r="G6" s="21"/>
      <c r="H6" s="13"/>
      <c r="I6" s="13"/>
      <c r="J6" s="13"/>
      <c r="K6" s="12"/>
      <c r="L6" s="12"/>
      <c r="M6" s="12"/>
      <c r="N6" s="12"/>
      <c r="O6" s="12"/>
      <c r="P6" s="12"/>
      <c r="Q6" s="12"/>
      <c r="R6" s="12"/>
      <c r="S6" s="12"/>
      <c r="T6" s="12"/>
      <c r="U6" s="12"/>
      <c r="V6" s="12"/>
      <c r="W6" s="12"/>
      <c r="X6" s="12"/>
      <c r="Y6" s="12"/>
      <c r="Z6" s="12"/>
    </row>
    <row r="7" spans="1:29" x14ac:dyDescent="0.25">
      <c r="Z7" s="22"/>
    </row>
    <row r="8" spans="1:29" x14ac:dyDescent="0.25">
      <c r="J8" s="67"/>
      <c r="Z8" s="22"/>
    </row>
    <row r="9" spans="1:29" x14ac:dyDescent="0.25">
      <c r="Z9" s="22"/>
    </row>
    <row r="10" spans="1:29" x14ac:dyDescent="0.25">
      <c r="F10" s="68" t="s">
        <v>232</v>
      </c>
      <c r="Z10" s="22"/>
      <c r="AA10" s="10"/>
      <c r="AB10" s="10"/>
      <c r="AC10" s="10"/>
    </row>
    <row r="11" spans="1:29" x14ac:dyDescent="0.25">
      <c r="Z11" s="22"/>
      <c r="AA11" s="10"/>
      <c r="AB11" s="10"/>
      <c r="AC11" s="10"/>
    </row>
    <row r="12" spans="1:29" s="1" customFormat="1" ht="24.95" customHeight="1" x14ac:dyDescent="0.25">
      <c r="A12" s="23"/>
      <c r="B12" s="23"/>
      <c r="C12" s="23"/>
      <c r="D12" s="23"/>
      <c r="E12" s="23"/>
      <c r="F12" s="63"/>
      <c r="G12" s="64" t="s">
        <v>12</v>
      </c>
      <c r="H12" s="83">
        <v>1234</v>
      </c>
      <c r="I12" s="83"/>
      <c r="J12" s="69"/>
      <c r="K12" s="63"/>
      <c r="L12" s="64" t="s">
        <v>241</v>
      </c>
      <c r="M12" s="83">
        <v>12345</v>
      </c>
      <c r="N12" s="83"/>
      <c r="O12" s="64" t="s">
        <v>240</v>
      </c>
      <c r="P12" s="66">
        <v>0</v>
      </c>
      <c r="Q12" s="23"/>
      <c r="R12" s="23"/>
      <c r="S12" s="23"/>
      <c r="T12" s="23"/>
      <c r="U12" s="23"/>
      <c r="V12" s="23"/>
      <c r="W12" s="23"/>
      <c r="X12" s="23"/>
      <c r="Y12" s="23"/>
      <c r="Z12" s="23"/>
      <c r="AA12" s="11"/>
      <c r="AB12" s="11"/>
      <c r="AC12" s="11"/>
    </row>
    <row r="13" spans="1:29" x14ac:dyDescent="0.25">
      <c r="Z13" s="22"/>
    </row>
    <row r="14" spans="1:29" x14ac:dyDescent="0.25">
      <c r="Z14" s="22"/>
    </row>
    <row r="15" spans="1:29" x14ac:dyDescent="0.25">
      <c r="Z15" s="22"/>
    </row>
    <row r="16" spans="1:29" x14ac:dyDescent="0.25">
      <c r="Z16" s="22"/>
    </row>
    <row r="17" spans="1:26" x14ac:dyDescent="0.25">
      <c r="C17" s="68" t="s">
        <v>239</v>
      </c>
      <c r="Z17" s="22"/>
    </row>
    <row r="18" spans="1:26" x14ac:dyDescent="0.25">
      <c r="Z18" s="22"/>
    </row>
    <row r="19" spans="1:26" s="1" customFormat="1" ht="24.95" customHeight="1" x14ac:dyDescent="0.25">
      <c r="A19" s="23"/>
      <c r="B19" s="23"/>
      <c r="C19" s="63"/>
      <c r="D19" s="64" t="s">
        <v>231</v>
      </c>
      <c r="E19" s="84">
        <v>9017015000137</v>
      </c>
      <c r="F19" s="84"/>
      <c r="G19" s="22"/>
      <c r="H19" s="70" t="str">
        <f>HYPERLINK(J19,"Consulta CNPJ")</f>
        <v>Consulta CNPJ</v>
      </c>
      <c r="I19" s="71"/>
      <c r="J19" s="71" t="str">
        <f>_xlfn.CONCAT(("https://www.receitaws.com.br/v1/cnpj/"),(IF((LEN(E19))=13,(_xlfn.CONCAT("0",E19)),E19)))</f>
        <v>https://www.receitaws.com.br/v1/cnpj/09017015000137</v>
      </c>
      <c r="K19" s="23"/>
      <c r="L19" s="23"/>
      <c r="M19" s="23"/>
      <c r="N19" s="23"/>
      <c r="O19" s="23"/>
      <c r="P19" s="23"/>
      <c r="Q19" s="23"/>
      <c r="R19" s="23"/>
      <c r="S19" s="23"/>
      <c r="T19" s="23"/>
      <c r="U19" s="23"/>
      <c r="V19" s="23"/>
      <c r="W19" s="23"/>
      <c r="X19" s="23"/>
      <c r="Y19" s="23"/>
      <c r="Z19" s="23"/>
    </row>
    <row r="20" spans="1:26" s="1" customFormat="1" x14ac:dyDescent="0.25">
      <c r="A20" s="23"/>
      <c r="B20" s="23"/>
      <c r="C20" s="23"/>
      <c r="D20" s="72"/>
      <c r="E20" s="23"/>
      <c r="F20" s="23"/>
      <c r="G20" s="23"/>
      <c r="H20" s="23"/>
      <c r="I20" s="23"/>
      <c r="J20" s="23"/>
      <c r="K20" s="23"/>
      <c r="L20" s="23"/>
      <c r="M20" s="23"/>
      <c r="N20" s="23"/>
      <c r="O20" s="23"/>
      <c r="P20" s="23"/>
      <c r="Q20" s="23"/>
      <c r="R20" s="23"/>
      <c r="S20" s="23"/>
      <c r="T20" s="23"/>
      <c r="U20" s="23"/>
      <c r="V20" s="23"/>
      <c r="W20" s="23"/>
      <c r="X20" s="23"/>
      <c r="Y20" s="23"/>
      <c r="Z20" s="23"/>
    </row>
    <row r="21" spans="1:26" s="1" customFormat="1" ht="24.95" customHeight="1" x14ac:dyDescent="0.25">
      <c r="A21" s="23"/>
      <c r="B21" s="23"/>
      <c r="C21" s="63"/>
      <c r="D21" s="64" t="s">
        <v>230</v>
      </c>
      <c r="E21" s="87" t="s">
        <v>260</v>
      </c>
      <c r="F21" s="87"/>
      <c r="G21" s="87"/>
      <c r="H21" s="87"/>
      <c r="I21" s="87"/>
      <c r="J21" s="87"/>
      <c r="K21" s="87"/>
      <c r="L21" s="87"/>
      <c r="M21" s="87"/>
      <c r="N21" s="87"/>
      <c r="O21" s="87"/>
      <c r="P21" s="87"/>
      <c r="Q21" s="87"/>
      <c r="R21" s="87"/>
      <c r="S21" s="87"/>
      <c r="T21" s="87"/>
      <c r="U21" s="87"/>
      <c r="V21" s="87"/>
      <c r="W21" s="87"/>
      <c r="X21" s="87"/>
      <c r="Y21" s="23"/>
      <c r="Z21" s="23"/>
    </row>
    <row r="22" spans="1:26" s="1" customFormat="1" x14ac:dyDescent="0.25">
      <c r="A22" s="23"/>
      <c r="B22" s="23"/>
      <c r="C22" s="23"/>
      <c r="D22" s="23"/>
      <c r="E22" s="23"/>
      <c r="F22" s="23"/>
      <c r="G22" s="23"/>
      <c r="H22" s="23"/>
      <c r="I22" s="23"/>
      <c r="J22" s="23"/>
      <c r="K22" s="23"/>
      <c r="L22" s="23"/>
      <c r="M22" s="23"/>
      <c r="N22" s="23"/>
      <c r="O22" s="23"/>
      <c r="P22" s="23"/>
      <c r="Q22" s="23"/>
      <c r="R22" s="23"/>
      <c r="S22" s="23"/>
      <c r="T22" s="23"/>
      <c r="U22" s="23"/>
      <c r="V22" s="23"/>
      <c r="W22" s="23"/>
      <c r="X22" s="23"/>
      <c r="Y22" s="23"/>
      <c r="Z22" s="23"/>
    </row>
    <row r="23" spans="1:26" s="1" customFormat="1" ht="9.9499999999999993" customHeight="1" x14ac:dyDescent="0.25">
      <c r="A23" s="23"/>
      <c r="B23" s="23"/>
      <c r="C23" s="23"/>
      <c r="D23" s="23"/>
      <c r="E23" s="23"/>
      <c r="F23" s="23"/>
      <c r="G23" s="23"/>
      <c r="H23" s="23"/>
      <c r="I23" s="23"/>
      <c r="J23" s="23"/>
      <c r="K23" s="23"/>
      <c r="L23" s="23"/>
      <c r="M23" s="23"/>
      <c r="N23" s="23"/>
      <c r="O23" s="23"/>
      <c r="P23" s="23"/>
      <c r="Q23" s="23"/>
      <c r="R23" s="23"/>
      <c r="S23" s="23"/>
      <c r="T23" s="23"/>
      <c r="U23" s="23"/>
      <c r="V23" s="23"/>
      <c r="W23" s="23"/>
      <c r="X23" s="23"/>
      <c r="Y23" s="23"/>
      <c r="Z23" s="23"/>
    </row>
    <row r="24" spans="1:26" s="1" customFormat="1" ht="9.9499999999999993" customHeight="1" x14ac:dyDescent="0.25">
      <c r="A24" s="23"/>
      <c r="B24" s="23"/>
      <c r="C24" s="23"/>
      <c r="D24" s="23"/>
      <c r="E24" s="23"/>
      <c r="F24" s="23"/>
      <c r="G24" s="23"/>
      <c r="H24" s="23"/>
      <c r="I24" s="23"/>
      <c r="J24" s="23"/>
      <c r="K24" s="23"/>
      <c r="L24" s="23"/>
      <c r="M24" s="23"/>
      <c r="N24" s="23"/>
      <c r="O24" s="23"/>
      <c r="P24" s="23"/>
      <c r="Q24" s="23"/>
      <c r="R24" s="23"/>
      <c r="S24" s="23"/>
      <c r="T24" s="23"/>
      <c r="U24" s="23"/>
      <c r="V24" s="23"/>
      <c r="W24" s="23"/>
      <c r="X24" s="23"/>
      <c r="Y24" s="23"/>
      <c r="Z24" s="23"/>
    </row>
    <row r="25" spans="1:26" s="1" customFormat="1" ht="9.9499999999999993" customHeight="1" x14ac:dyDescent="0.25">
      <c r="A25" s="23"/>
      <c r="B25" s="23"/>
      <c r="C25" s="23"/>
      <c r="D25" s="23"/>
      <c r="E25" s="23"/>
      <c r="F25" s="23"/>
      <c r="G25" s="23"/>
      <c r="H25" s="23"/>
      <c r="I25" s="23"/>
      <c r="J25" s="23"/>
      <c r="K25" s="23"/>
      <c r="L25" s="23"/>
      <c r="M25" s="23"/>
      <c r="N25" s="23"/>
      <c r="O25" s="23"/>
      <c r="P25" s="23"/>
      <c r="Q25" s="23"/>
      <c r="R25" s="23"/>
      <c r="S25" s="23"/>
      <c r="T25" s="23"/>
      <c r="U25" s="23"/>
      <c r="V25" s="23"/>
      <c r="W25" s="23"/>
      <c r="X25" s="23"/>
      <c r="Y25" s="23"/>
      <c r="Z25" s="23"/>
    </row>
    <row r="26" spans="1:26" s="1" customFormat="1" ht="9.9499999999999993" customHeight="1" x14ac:dyDescent="0.25">
      <c r="A26" s="23"/>
      <c r="B26" s="23"/>
      <c r="C26" s="23"/>
      <c r="D26" s="23"/>
      <c r="E26" s="23"/>
      <c r="F26" s="23"/>
      <c r="G26" s="23"/>
      <c r="H26" s="23"/>
      <c r="I26" s="23"/>
      <c r="J26" s="23"/>
      <c r="K26" s="23"/>
      <c r="L26" s="23"/>
      <c r="M26" s="23"/>
      <c r="N26" s="23"/>
      <c r="O26" s="23"/>
      <c r="P26" s="23"/>
      <c r="Q26" s="23"/>
      <c r="R26" s="23"/>
      <c r="S26" s="23"/>
      <c r="T26" s="23"/>
      <c r="U26" s="23"/>
      <c r="V26" s="23"/>
      <c r="W26" s="23"/>
      <c r="X26" s="23"/>
      <c r="Y26" s="23"/>
      <c r="Z26" s="23"/>
    </row>
    <row r="27" spans="1:26" s="1" customFormat="1" ht="9.9499999999999993" customHeight="1" x14ac:dyDescent="0.25">
      <c r="A27" s="23"/>
      <c r="B27" s="23"/>
      <c r="C27" s="23"/>
      <c r="D27" s="23"/>
      <c r="E27" s="23"/>
      <c r="F27" s="23"/>
      <c r="G27" s="23"/>
      <c r="H27" s="23"/>
      <c r="I27" s="23"/>
      <c r="J27" s="23"/>
      <c r="K27" s="23"/>
      <c r="L27" s="23"/>
      <c r="M27" s="23"/>
      <c r="N27" s="23"/>
      <c r="O27" s="23"/>
      <c r="P27" s="23"/>
      <c r="Q27" s="23"/>
      <c r="R27" s="23"/>
      <c r="S27" s="23"/>
      <c r="T27" s="23"/>
      <c r="U27" s="23"/>
      <c r="V27" s="23"/>
      <c r="W27" s="23"/>
      <c r="X27" s="23"/>
      <c r="Y27" s="23"/>
      <c r="Z27" s="23"/>
    </row>
    <row r="28" spans="1:26" x14ac:dyDescent="0.25">
      <c r="C28" s="68" t="s">
        <v>234</v>
      </c>
      <c r="S28" s="23"/>
      <c r="T28" s="23"/>
      <c r="U28" s="23"/>
      <c r="Z28" s="22"/>
    </row>
    <row r="29" spans="1:26" s="1" customFormat="1" x14ac:dyDescent="0.25">
      <c r="A29" s="23"/>
      <c r="B29" s="23"/>
      <c r="C29" s="23"/>
      <c r="D29" s="23"/>
      <c r="E29" s="23"/>
      <c r="F29" s="23"/>
      <c r="G29" s="23"/>
      <c r="H29" s="23"/>
      <c r="I29" s="23"/>
      <c r="J29" s="23"/>
      <c r="K29" s="23"/>
      <c r="L29" s="23"/>
      <c r="M29" s="23"/>
      <c r="N29" s="23"/>
      <c r="O29" s="23"/>
      <c r="P29" s="23"/>
      <c r="Q29" s="23"/>
      <c r="R29" s="23"/>
      <c r="S29" s="23"/>
      <c r="T29" s="23"/>
      <c r="U29" s="23"/>
      <c r="V29" s="23"/>
      <c r="W29" s="23"/>
      <c r="X29" s="23"/>
      <c r="Y29" s="23"/>
      <c r="Z29" s="23"/>
    </row>
    <row r="30" spans="1:26" s="1" customFormat="1" ht="24.95" customHeight="1" x14ac:dyDescent="0.25">
      <c r="A30" s="23"/>
      <c r="B30" s="23"/>
      <c r="C30" s="63"/>
      <c r="D30" s="64" t="s">
        <v>235</v>
      </c>
      <c r="E30" s="88" t="s">
        <v>261</v>
      </c>
      <c r="F30" s="88"/>
      <c r="G30" s="88"/>
      <c r="H30" s="88"/>
      <c r="I30" s="88"/>
      <c r="J30" s="88"/>
      <c r="K30" s="88"/>
      <c r="L30" s="88"/>
      <c r="M30" s="88"/>
      <c r="N30" s="88"/>
      <c r="O30" s="88"/>
      <c r="P30" s="88"/>
      <c r="Q30" s="88"/>
      <c r="R30" s="88"/>
      <c r="S30" s="88"/>
      <c r="T30" s="88"/>
      <c r="U30" s="88"/>
      <c r="V30" s="88"/>
      <c r="W30" s="88"/>
      <c r="X30" s="88"/>
      <c r="Y30" s="23"/>
      <c r="Z30" s="23"/>
    </row>
    <row r="31" spans="1:26" x14ac:dyDescent="0.25">
      <c r="C31" s="73"/>
      <c r="D31" s="73"/>
      <c r="E31" s="73"/>
      <c r="F31" s="73"/>
      <c r="G31" s="73"/>
      <c r="H31" s="73"/>
      <c r="I31" s="73"/>
      <c r="J31" s="73"/>
      <c r="K31" s="73"/>
      <c r="L31" s="73"/>
      <c r="M31" s="73"/>
      <c r="N31" s="73"/>
      <c r="O31" s="73"/>
      <c r="P31" s="73"/>
      <c r="Q31" s="73"/>
      <c r="R31" s="73"/>
      <c r="S31" s="73"/>
      <c r="T31" s="73"/>
      <c r="U31" s="73"/>
      <c r="V31" s="73"/>
      <c r="W31" s="73"/>
      <c r="X31" s="73"/>
      <c r="Z31" s="22"/>
    </row>
    <row r="32" spans="1:26" s="1" customFormat="1" ht="24.95" customHeight="1" x14ac:dyDescent="0.25">
      <c r="A32" s="23"/>
      <c r="B32" s="23"/>
      <c r="C32" s="62"/>
      <c r="D32" s="64" t="s">
        <v>236</v>
      </c>
      <c r="E32" s="65">
        <v>41</v>
      </c>
      <c r="F32" s="73"/>
      <c r="G32" s="63"/>
      <c r="H32" s="64" t="s">
        <v>237</v>
      </c>
      <c r="I32" s="89"/>
      <c r="J32" s="89"/>
      <c r="K32" s="89"/>
      <c r="L32" s="62"/>
      <c r="M32" s="64" t="s">
        <v>105</v>
      </c>
      <c r="N32" s="90" t="s">
        <v>262</v>
      </c>
      <c r="O32" s="90"/>
      <c r="P32" s="90"/>
      <c r="Q32" s="90"/>
      <c r="R32" s="73"/>
      <c r="S32" s="64" t="s">
        <v>238</v>
      </c>
      <c r="T32" s="66" t="s">
        <v>263</v>
      </c>
      <c r="U32" s="73"/>
      <c r="V32" s="64" t="s">
        <v>107</v>
      </c>
      <c r="W32" s="86">
        <v>21241081</v>
      </c>
      <c r="X32" s="86"/>
      <c r="Y32" s="23"/>
      <c r="Z32" s="22"/>
    </row>
    <row r="33" spans="1:26" x14ac:dyDescent="0.25">
      <c r="Z33" s="22"/>
    </row>
    <row r="34" spans="1:26" ht="9.9499999999999993" customHeight="1" x14ac:dyDescent="0.25">
      <c r="Z34" s="22"/>
    </row>
    <row r="35" spans="1:26" ht="9.9499999999999993" customHeight="1" x14ac:dyDescent="0.25">
      <c r="Z35" s="22"/>
    </row>
    <row r="36" spans="1:26" ht="9.9499999999999993" customHeight="1" x14ac:dyDescent="0.25">
      <c r="Z36" s="22"/>
    </row>
    <row r="37" spans="1:26" ht="9.9499999999999993" customHeight="1" x14ac:dyDescent="0.25">
      <c r="Z37" s="22"/>
    </row>
    <row r="38" spans="1:26" ht="9.9499999999999993" customHeight="1" x14ac:dyDescent="0.25">
      <c r="Z38" s="22"/>
    </row>
    <row r="39" spans="1:26" x14ac:dyDescent="0.25">
      <c r="C39" s="68" t="s">
        <v>258</v>
      </c>
      <c r="Z39" s="22"/>
    </row>
    <row r="40" spans="1:26" x14ac:dyDescent="0.25">
      <c r="Z40" s="22"/>
    </row>
    <row r="41" spans="1:26" s="1" customFormat="1" ht="24.95" customHeight="1" x14ac:dyDescent="0.25">
      <c r="A41" s="23"/>
      <c r="B41" s="23"/>
      <c r="C41" s="63"/>
      <c r="D41" s="64" t="s">
        <v>42</v>
      </c>
      <c r="E41" s="85">
        <f ca="1">NOW()</f>
        <v>45408.680055324076</v>
      </c>
      <c r="F41" s="85"/>
      <c r="G41" s="85"/>
      <c r="H41" s="85"/>
      <c r="I41" s="71"/>
      <c r="J41" s="63"/>
      <c r="K41" s="64" t="s">
        <v>23</v>
      </c>
      <c r="L41" s="82">
        <f ca="1">NOW()</f>
        <v>45408.680055324076</v>
      </c>
      <c r="M41" s="82"/>
      <c r="N41" s="82"/>
      <c r="O41" s="82"/>
      <c r="P41" s="23"/>
      <c r="Q41" s="23"/>
      <c r="R41" s="63"/>
      <c r="S41" s="63"/>
      <c r="T41" s="64" t="s">
        <v>233</v>
      </c>
      <c r="U41" s="81">
        <v>45657</v>
      </c>
      <c r="V41" s="81"/>
      <c r="W41" s="81"/>
      <c r="X41" s="81"/>
      <c r="Y41" s="23"/>
      <c r="Z41" s="23"/>
    </row>
    <row r="42" spans="1:26" x14ac:dyDescent="0.25">
      <c r="Z42" s="22"/>
    </row>
    <row r="43" spans="1:26" s="1" customFormat="1" ht="24.95" customHeight="1" x14ac:dyDescent="0.25">
      <c r="A43" s="23"/>
      <c r="B43" s="23"/>
      <c r="C43" s="71"/>
      <c r="D43" s="71"/>
      <c r="E43" s="71"/>
      <c r="F43" s="71"/>
      <c r="G43" s="71"/>
      <c r="H43" s="71"/>
      <c r="I43" s="71"/>
      <c r="J43" s="71"/>
      <c r="K43" s="23"/>
      <c r="L43" s="23"/>
      <c r="M43" s="23"/>
      <c r="N43" s="23"/>
      <c r="O43" s="23"/>
      <c r="P43" s="23"/>
      <c r="Q43" s="23"/>
      <c r="R43" s="23"/>
      <c r="S43" s="23"/>
      <c r="T43" s="23"/>
      <c r="U43" s="23"/>
      <c r="V43" s="23"/>
      <c r="W43" s="23"/>
      <c r="X43" s="23"/>
      <c r="Y43" s="23"/>
      <c r="Z43" s="23"/>
    </row>
    <row r="44" spans="1:26" x14ac:dyDescent="0.25">
      <c r="Z44" s="22"/>
    </row>
    <row r="45" spans="1:26" s="1" customFormat="1" ht="24.95" customHeight="1" x14ac:dyDescent="0.25">
      <c r="A45" s="23"/>
      <c r="B45" s="23"/>
      <c r="C45" s="71"/>
      <c r="D45" s="71"/>
      <c r="E45" s="71"/>
      <c r="F45" s="71"/>
      <c r="G45" s="71"/>
      <c r="H45" s="71"/>
      <c r="I45" s="71"/>
      <c r="J45" s="71"/>
      <c r="K45" s="23"/>
      <c r="L45" s="23"/>
      <c r="M45" s="23"/>
      <c r="N45" s="23"/>
      <c r="O45" s="23"/>
      <c r="P45" s="23"/>
      <c r="Q45" s="23"/>
      <c r="R45" s="23"/>
      <c r="S45" s="23"/>
      <c r="T45" s="23"/>
      <c r="U45" s="23"/>
      <c r="V45" s="23"/>
      <c r="W45" s="23"/>
      <c r="X45" s="23"/>
      <c r="Y45" s="23"/>
      <c r="Z45" s="23"/>
    </row>
    <row r="46" spans="1:26" x14ac:dyDescent="0.25">
      <c r="Z46" s="22"/>
    </row>
    <row r="47" spans="1:26" x14ac:dyDescent="0.25">
      <c r="Z47" s="22"/>
    </row>
    <row r="48" spans="1:26" x14ac:dyDescent="0.25">
      <c r="Z48" s="22"/>
    </row>
    <row r="49" spans="26:26" x14ac:dyDescent="0.25">
      <c r="Z49" s="22"/>
    </row>
    <row r="50" spans="26:26" x14ac:dyDescent="0.25">
      <c r="Z50" s="22"/>
    </row>
    <row r="51" spans="26:26" x14ac:dyDescent="0.25">
      <c r="Z51" s="22"/>
    </row>
    <row r="52" spans="26:26" x14ac:dyDescent="0.25">
      <c r="Z52" s="22"/>
    </row>
    <row r="53" spans="26:26" x14ac:dyDescent="0.25">
      <c r="Z53" s="22"/>
    </row>
    <row r="54" spans="26:26" x14ac:dyDescent="0.25">
      <c r="Z54" s="22"/>
    </row>
    <row r="55" spans="26:26" x14ac:dyDescent="0.25">
      <c r="Z55" s="22"/>
    </row>
    <row r="56" spans="26:26" x14ac:dyDescent="0.25">
      <c r="Z56" s="22"/>
    </row>
    <row r="57" spans="26:26" x14ac:dyDescent="0.25">
      <c r="Z57" s="22"/>
    </row>
    <row r="58" spans="26:26" x14ac:dyDescent="0.25">
      <c r="Z58" s="22"/>
    </row>
    <row r="59" spans="26:26" x14ac:dyDescent="0.25">
      <c r="Z59" s="22"/>
    </row>
    <row r="60" spans="26:26" x14ac:dyDescent="0.25">
      <c r="Z60" s="22"/>
    </row>
    <row r="61" spans="26:26" x14ac:dyDescent="0.25">
      <c r="Z61" s="22"/>
    </row>
  </sheetData>
  <sheetProtection algorithmName="SHA-512" hashValue="J6KgjZN+Fyv6XwMennqRj2CnWONPV93qUckOGk/kWCoYuWrY62ivcBss2reFffgA5KWLXOywvuvNpWWAROMqYw==" saltValue="A5u4ySs0sOOh0N0zGZ4/kA==" spinCount="100000" sheet="1" objects="1" scenarios="1"/>
  <mergeCells count="13">
    <mergeCell ref="F5:T5"/>
    <mergeCell ref="B1:Z1"/>
    <mergeCell ref="U41:X41"/>
    <mergeCell ref="L41:O41"/>
    <mergeCell ref="M12:N12"/>
    <mergeCell ref="H12:I12"/>
    <mergeCell ref="E19:F19"/>
    <mergeCell ref="E41:H41"/>
    <mergeCell ref="W32:X32"/>
    <mergeCell ref="E21:X21"/>
    <mergeCell ref="E30:X30"/>
    <mergeCell ref="I32:K32"/>
    <mergeCell ref="N32:Q32"/>
  </mergeCells>
  <dataValidations count="2">
    <dataValidation operator="equal" allowBlank="1" showInputMessage="1" showErrorMessage="1" sqref="V32:W32 F13:O20 F33:H40 F42:H42 F22:O29 C43:H45 C8:O9 G32:I32 F31:F32 G31:O31 S32:T32 L32:N32 E10:R12 J41:L41 I33:I45 J33:O40 J42:O45 C13:E42 R41:T41" xr:uid="{656F298B-9DC7-4117-8C63-BA98ED58338D}"/>
    <dataValidation type="date" operator="greaterThanOrEqual" allowBlank="1" showInputMessage="1" showErrorMessage="1" errorTitle="ATENÇÃO!" error="_x000a_A de pagamento deve ser igual ou superior a data de hoje." sqref="U41:X41" xr:uid="{6A1037EA-7D1F-4A15-85FF-F487699385BB}">
      <formula1>B1</formula1>
    </dataValidation>
  </dataValidations>
  <pageMargins left="0.511811024" right="0.511811024" top="0.78740157499999996" bottom="0.78740157499999996" header="0.31496062000000002" footer="0.31496062000000002"/>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2F35CD-89CF-41E1-B189-C10128D94562}">
  <sheetPr codeName="Planilha9">
    <tabColor rgb="FFC00000"/>
  </sheetPr>
  <dimension ref="A1:V109"/>
  <sheetViews>
    <sheetView showGridLines="0" showRowColHeaders="0" zoomScale="86" zoomScaleNormal="86" workbookViewId="0">
      <pane ySplit="6" topLeftCell="A7" activePane="bottomLeft" state="frozenSplit"/>
      <selection pane="bottomLeft" activeCell="C7" sqref="C7"/>
    </sheetView>
  </sheetViews>
  <sheetFormatPr defaultColWidth="0" defaultRowHeight="15" zeroHeight="1" outlineLevelCol="1" x14ac:dyDescent="0.25"/>
  <cols>
    <col min="1" max="1" width="4.7109375" customWidth="1"/>
    <col min="2" max="2" width="10.7109375" customWidth="1"/>
    <col min="3" max="3" width="50.7109375" customWidth="1"/>
    <col min="4" max="4" width="20.7109375" customWidth="1"/>
    <col min="5" max="5" width="14.7109375" customWidth="1"/>
    <col min="6" max="6" width="10.7109375" customWidth="1"/>
    <col min="7" max="8" width="14.7109375" customWidth="1"/>
    <col min="9" max="9" width="8.7109375" style="5" customWidth="1"/>
    <col min="10" max="10" width="68.28515625" customWidth="1"/>
    <col min="11" max="11" width="4.7109375" customWidth="1"/>
    <col min="12" max="12" width="40.7109375" hidden="1" customWidth="1" outlineLevel="1"/>
    <col min="13" max="14" width="20.7109375" style="5" hidden="1" customWidth="1" outlineLevel="1"/>
    <col min="15" max="16" width="9.140625" hidden="1" customWidth="1" outlineLevel="1"/>
    <col min="17" max="17" width="15.85546875" hidden="1" customWidth="1" outlineLevel="1"/>
    <col min="18" max="18" width="12.140625" hidden="1" customWidth="1" outlineLevel="1"/>
    <col min="19" max="19" width="4.7109375" customWidth="1" collapsed="1"/>
    <col min="20" max="20" width="211.85546875" hidden="1" customWidth="1" outlineLevel="1"/>
    <col min="21" max="21" width="4.7109375" customWidth="1" collapsed="1"/>
    <col min="22" max="16384" width="9.140625" hidden="1"/>
  </cols>
  <sheetData>
    <row r="1" spans="1:21" x14ac:dyDescent="0.25">
      <c r="A1" s="91">
        <f ca="1">TODAY()</f>
        <v>45408</v>
      </c>
      <c r="B1" s="91"/>
      <c r="C1" s="91"/>
      <c r="D1" s="91"/>
      <c r="E1" s="91"/>
      <c r="F1" s="91"/>
      <c r="G1" s="91"/>
      <c r="H1" s="91"/>
      <c r="I1" s="91"/>
      <c r="J1" s="91"/>
      <c r="K1" s="91"/>
      <c r="L1" s="10"/>
      <c r="M1" s="30"/>
      <c r="N1" s="30"/>
      <c r="O1" s="10"/>
      <c r="P1" s="10"/>
      <c r="Q1" s="10"/>
      <c r="R1" s="10"/>
      <c r="S1" s="10"/>
      <c r="T1" s="10"/>
      <c r="U1" s="10"/>
    </row>
    <row r="2" spans="1:21" ht="51.75" customHeight="1" x14ac:dyDescent="0.25">
      <c r="A2" s="10"/>
      <c r="B2" s="10"/>
      <c r="C2" s="10"/>
      <c r="D2" s="18"/>
      <c r="E2" s="76" t="s">
        <v>264</v>
      </c>
      <c r="F2" s="18"/>
      <c r="G2" s="10"/>
      <c r="H2" s="10"/>
      <c r="I2" s="30"/>
      <c r="J2" s="10"/>
      <c r="K2" s="10"/>
      <c r="L2" s="10"/>
      <c r="M2" s="30"/>
      <c r="N2" s="30"/>
      <c r="O2" s="10"/>
      <c r="P2" s="10"/>
      <c r="Q2" s="10"/>
      <c r="R2" s="10"/>
      <c r="S2" s="10"/>
      <c r="T2" s="10"/>
      <c r="U2" s="10"/>
    </row>
    <row r="3" spans="1:21" x14ac:dyDescent="0.25">
      <c r="A3" s="10"/>
      <c r="B3" s="10"/>
      <c r="C3" s="10"/>
      <c r="D3" s="74">
        <f>COUNTIF(A7:A106,"S")</f>
        <v>1</v>
      </c>
      <c r="E3" s="75">
        <f>SUM(E7:E106)</f>
        <v>50</v>
      </c>
      <c r="F3" s="10"/>
      <c r="G3" s="10"/>
      <c r="H3" s="10"/>
      <c r="I3" s="30"/>
      <c r="J3" s="10"/>
      <c r="K3" s="10"/>
      <c r="L3" s="10"/>
      <c r="M3" s="30"/>
      <c r="N3" s="30"/>
      <c r="O3" s="10"/>
      <c r="P3" s="10"/>
      <c r="Q3" s="10"/>
      <c r="R3" s="10"/>
      <c r="S3" s="10"/>
      <c r="T3" s="10"/>
      <c r="U3" s="10"/>
    </row>
    <row r="4" spans="1:21" x14ac:dyDescent="0.25">
      <c r="A4" s="12"/>
      <c r="B4" s="12"/>
      <c r="C4" s="12"/>
      <c r="D4" s="12"/>
      <c r="E4" s="12"/>
      <c r="F4" s="12"/>
      <c r="G4" s="12"/>
      <c r="H4" s="12"/>
      <c r="I4" s="31"/>
      <c r="J4" s="12"/>
      <c r="K4" s="12"/>
      <c r="L4" s="28">
        <v>30</v>
      </c>
      <c r="M4" s="28">
        <v>14</v>
      </c>
      <c r="N4" s="28">
        <v>15</v>
      </c>
      <c r="O4" s="28">
        <v>3</v>
      </c>
      <c r="P4" s="28">
        <v>5</v>
      </c>
      <c r="Q4" s="28">
        <v>12</v>
      </c>
      <c r="R4" s="28">
        <v>2</v>
      </c>
      <c r="S4" s="10"/>
      <c r="T4" s="28"/>
      <c r="U4" s="10"/>
    </row>
    <row r="5" spans="1:21" s="15" customFormat="1" ht="18.75" x14ac:dyDescent="0.3">
      <c r="A5" s="14"/>
      <c r="B5" s="12"/>
      <c r="C5" s="19" t="s">
        <v>242</v>
      </c>
      <c r="D5" s="19" t="s">
        <v>247</v>
      </c>
      <c r="E5" s="19" t="s">
        <v>244</v>
      </c>
      <c r="F5" s="19" t="s">
        <v>246</v>
      </c>
      <c r="G5" s="19" t="s">
        <v>243</v>
      </c>
      <c r="H5" s="19" t="s">
        <v>245</v>
      </c>
      <c r="I5" s="19" t="s">
        <v>250</v>
      </c>
      <c r="J5" s="19"/>
      <c r="K5" s="14"/>
      <c r="L5" s="29" t="s">
        <v>242</v>
      </c>
      <c r="M5" s="29" t="s">
        <v>247</v>
      </c>
      <c r="N5" s="29" t="s">
        <v>244</v>
      </c>
      <c r="O5" s="29" t="s">
        <v>246</v>
      </c>
      <c r="P5" s="29" t="s">
        <v>243</v>
      </c>
      <c r="Q5" s="29" t="s">
        <v>245</v>
      </c>
      <c r="R5" s="29" t="s">
        <v>251</v>
      </c>
      <c r="S5" s="10"/>
      <c r="T5" s="35" t="s">
        <v>255</v>
      </c>
      <c r="U5" s="10"/>
    </row>
    <row r="6" spans="1:21" x14ac:dyDescent="0.25">
      <c r="A6" s="12"/>
      <c r="B6" s="12"/>
      <c r="C6" s="13"/>
      <c r="D6" s="13"/>
      <c r="E6" s="13"/>
      <c r="F6" s="21" t="s">
        <v>248</v>
      </c>
      <c r="G6" s="13"/>
      <c r="H6" s="13"/>
      <c r="I6" s="21"/>
      <c r="J6" s="13"/>
      <c r="K6" s="12"/>
      <c r="L6" s="32">
        <f t="shared" ref="L6:R6" si="0">LEN(L7)</f>
        <v>30</v>
      </c>
      <c r="M6" s="32">
        <f t="shared" si="0"/>
        <v>14</v>
      </c>
      <c r="N6" s="32">
        <f t="shared" si="0"/>
        <v>15</v>
      </c>
      <c r="O6" s="32">
        <f t="shared" si="0"/>
        <v>3</v>
      </c>
      <c r="P6" s="32">
        <f t="shared" si="0"/>
        <v>5</v>
      </c>
      <c r="Q6" s="32">
        <f t="shared" si="0"/>
        <v>13</v>
      </c>
      <c r="R6" s="32">
        <f t="shared" si="0"/>
        <v>2</v>
      </c>
      <c r="S6" s="10"/>
      <c r="T6" s="32"/>
      <c r="U6" s="10"/>
    </row>
    <row r="7" spans="1:21" s="16" customFormat="1" ht="21.95" customHeight="1" x14ac:dyDescent="0.25">
      <c r="A7" s="33" t="str">
        <f>IF(OR(C7="",D7="",E7="",F7="",G7="",H7="",I7=""),"N","S")</f>
        <v>S</v>
      </c>
      <c r="B7" s="17" t="str">
        <f>IF(C7="","",(TEXT((B6+1),"00000")))</f>
        <v>00001</v>
      </c>
      <c r="C7" s="53" t="s">
        <v>265</v>
      </c>
      <c r="D7" s="54">
        <v>6854312900</v>
      </c>
      <c r="E7" s="55">
        <v>50</v>
      </c>
      <c r="F7" s="56">
        <v>260</v>
      </c>
      <c r="G7" s="57">
        <v>1</v>
      </c>
      <c r="H7" s="57">
        <v>10</v>
      </c>
      <c r="I7" s="59">
        <v>0</v>
      </c>
      <c r="J7" s="60"/>
      <c r="K7" s="10"/>
      <c r="L7" s="25" t="str">
        <f>IF(LEN(C7)&lt;30,
_xlfn.CONCAT((C7),REPT(" ",(30-(LEN(C7))))),
(LEFT(C7,30)))</f>
        <v xml:space="preserve">THIAGO GOMES ZIOLKOWSKI       </v>
      </c>
      <c r="M7" s="27" t="str">
        <f>TEXT(SUBSTITUTE((SUBSTITUTE(SUBSTITUTE(D7,"-",""),".","")),"/",""),"00000000000000")</f>
        <v>00006854312900</v>
      </c>
      <c r="N7" s="27" t="str">
        <f>TEXT((SUBSTITUTE(SUBSTITUTE((E7*100),",",""),".","")),"000000000000000")</f>
        <v>000000000005000</v>
      </c>
      <c r="O7" s="20" t="str">
        <f>TEXT(F7,"000")</f>
        <v>260</v>
      </c>
      <c r="P7" s="20" t="str">
        <f>(TEXT(G7,"00000"))</f>
        <v>00001</v>
      </c>
      <c r="Q7" s="26" t="str">
        <f>" "&amp;(TEXT(H7,"000000000000"))</f>
        <v xml:space="preserve"> 000000000010</v>
      </c>
      <c r="R7" s="20" t="str">
        <f>_xlfn.CONCAT(" ",I7)</f>
        <v xml:space="preserve"> 0</v>
      </c>
      <c r="S7" s="10"/>
      <c r="T7" s="36" t="str">
        <f>IF($A7="S",(_xlfn.CONCAT(
REGISTRO_DETALHE!$I$4:$I$6,
TED!$B7,
REGISTRO_DETALHE!$I$8:$I$10,
TED!$O7:$R7,
TED!$L7,
REGISTRO_DETALHE!$I$14:$I$19,
TED!$N7,
REGISTRO_DETALHE!$I$21:$I$23,
TED!$N7,
REGISTRO_DETALHE!$I$25:$I$26,
TED!$M7,
REGISTRO_DETALHE!$I$28:$I$32))," ")</f>
        <v xml:space="preserve">3410001300001A00000026000001 000000000010 0THIAGO GOMES ZIOLKOWSKI                           31122024REA000000000000000000000000005000                    31122024000000000005000                    00000000006854312900  00000     0          </v>
      </c>
      <c r="U7" s="10"/>
    </row>
    <row r="8" spans="1:21" s="16" customFormat="1" ht="21.95" customHeight="1" x14ac:dyDescent="0.25">
      <c r="A8" s="33" t="str">
        <f>IF(OR(C8="",D8="",E8="",F8="",G8="",H8="",I8=""),"N","S")</f>
        <v>N</v>
      </c>
      <c r="B8" s="17" t="str">
        <f t="shared" ref="B8:B25" si="1">IF(C8="","",(TEXT((B7+1),"00000")))</f>
        <v/>
      </c>
      <c r="C8" s="53"/>
      <c r="D8" s="54"/>
      <c r="E8" s="55"/>
      <c r="F8" s="56"/>
      <c r="G8" s="57"/>
      <c r="H8" s="57"/>
      <c r="I8" s="59"/>
      <c r="J8" s="60"/>
      <c r="K8" s="10"/>
      <c r="L8" s="25" t="str">
        <f t="shared" ref="L8:L11" si="2">IF(LEN(C8)&lt;30,
_xlfn.CONCAT((C8),REPT(" ",(30-(LEN(C8))))),
(LEFT(C8,30)))</f>
        <v xml:space="preserve">                              </v>
      </c>
      <c r="M8" s="27" t="str">
        <f>TEXT(SUBSTITUTE((SUBSTITUTE(SUBSTITUTE(D8,"-",""),".","")),"/",""),"00000000000000")</f>
        <v/>
      </c>
      <c r="N8" s="27" t="str">
        <f t="shared" ref="N8:N10" si="3">TEXT((SUBSTITUTE(SUBSTITUTE((E8*100),",",""),".","")),"000000000000000")</f>
        <v>000000000000000</v>
      </c>
      <c r="O8" s="20" t="str">
        <f t="shared" ref="O8:O71" si="4">TEXT(F8,"000")</f>
        <v>000</v>
      </c>
      <c r="P8" s="20" t="str">
        <f t="shared" ref="P8:P71" si="5">(TEXT(G8,"00000"))</f>
        <v>00000</v>
      </c>
      <c r="Q8" s="26" t="str">
        <f t="shared" ref="Q8:Q71" si="6">" "&amp;(TEXT(H8,"000000000000"))</f>
        <v xml:space="preserve"> 000000000000</v>
      </c>
      <c r="R8" s="20" t="str">
        <f t="shared" ref="R8:R71" si="7">_xlfn.CONCAT(" ",I8)</f>
        <v xml:space="preserve"> </v>
      </c>
      <c r="S8" s="10"/>
      <c r="T8" s="36" t="str">
        <f>IF($A8="S",(_xlfn.CONCAT(
REGISTRO_DETALHE!$I$4:$I$6,
TED!$B8,
REGISTRO_DETALHE!$I$8:$I$10,
TED!$O8:$R8,
TED!$L8,
REGISTRO_DETALHE!$I$14:$I$19,
TED!$N8,
REGISTRO_DETALHE!$I$21:$I$23,
TED!$N8,
REGISTRO_DETALHE!$I$25:$I$26,
TED!$M8,
REGISTRO_DETALHE!$I$28:$I$32))," ")</f>
        <v xml:space="preserve"> </v>
      </c>
      <c r="U8" s="10"/>
    </row>
    <row r="9" spans="1:21" s="16" customFormat="1" ht="21.95" customHeight="1" x14ac:dyDescent="0.25">
      <c r="A9" s="33" t="str">
        <f t="shared" ref="A9:A72" si="8">IF(OR(C9="",D9="",E9="",F9="",G9="",H9="",I9=""),"N","S")</f>
        <v>N</v>
      </c>
      <c r="B9" s="17" t="str">
        <f t="shared" si="1"/>
        <v/>
      </c>
      <c r="C9" s="53"/>
      <c r="D9" s="54"/>
      <c r="E9" s="55"/>
      <c r="F9" s="59"/>
      <c r="G9" s="57"/>
      <c r="H9" s="57"/>
      <c r="I9" s="59"/>
      <c r="J9" s="60"/>
      <c r="K9" s="10"/>
      <c r="L9" s="25" t="str">
        <f t="shared" si="2"/>
        <v xml:space="preserve">                              </v>
      </c>
      <c r="M9" s="27" t="str">
        <f>TEXT(SUBSTITUTE((SUBSTITUTE(SUBSTITUTE(D9,"-",""),".","")),"/",""),"00000000000000")</f>
        <v/>
      </c>
      <c r="N9" s="27" t="str">
        <f t="shared" si="3"/>
        <v>000000000000000</v>
      </c>
      <c r="O9" s="20" t="str">
        <f t="shared" si="4"/>
        <v>000</v>
      </c>
      <c r="P9" s="20" t="str">
        <f t="shared" si="5"/>
        <v>00000</v>
      </c>
      <c r="Q9" s="26" t="str">
        <f t="shared" si="6"/>
        <v xml:space="preserve"> 000000000000</v>
      </c>
      <c r="R9" s="20" t="str">
        <f t="shared" si="7"/>
        <v xml:space="preserve"> </v>
      </c>
      <c r="S9" s="10"/>
      <c r="T9" s="36" t="str">
        <f>IF($A9="S",(_xlfn.CONCAT(
REGISTRO_DETALHE!$I$4:$I$6,
TED!$B9,
REGISTRO_DETALHE!$I$8:$I$10,
TED!$O9:$R9,
TED!$L9,
REGISTRO_DETALHE!$I$14:$I$19,
TED!$N9,
REGISTRO_DETALHE!$I$21:$I$23,
TED!$N9,
REGISTRO_DETALHE!$I$25:$I$26,
TED!$M9,
REGISTRO_DETALHE!$I$28:$I$32))," ")</f>
        <v xml:space="preserve"> </v>
      </c>
      <c r="U9" s="10"/>
    </row>
    <row r="10" spans="1:21" s="16" customFormat="1" ht="21.95" customHeight="1" x14ac:dyDescent="0.25">
      <c r="A10" s="33" t="str">
        <f t="shared" si="8"/>
        <v>N</v>
      </c>
      <c r="B10" s="17" t="str">
        <f t="shared" si="1"/>
        <v/>
      </c>
      <c r="C10" s="53"/>
      <c r="D10" s="54"/>
      <c r="E10" s="55"/>
      <c r="F10" s="59"/>
      <c r="G10" s="57"/>
      <c r="H10" s="57"/>
      <c r="I10" s="59"/>
      <c r="J10" s="60"/>
      <c r="K10" s="10"/>
      <c r="L10" s="25" t="str">
        <f t="shared" si="2"/>
        <v xml:space="preserve">                              </v>
      </c>
      <c r="M10" s="27" t="str">
        <f t="shared" ref="M10:M73" si="9">TEXT(SUBSTITUTE((SUBSTITUTE(SUBSTITUTE(D10,"-",""),".","")),"/",""),"00000000000000")</f>
        <v/>
      </c>
      <c r="N10" s="27" t="str">
        <f t="shared" si="3"/>
        <v>000000000000000</v>
      </c>
      <c r="O10" s="20" t="str">
        <f t="shared" si="4"/>
        <v>000</v>
      </c>
      <c r="P10" s="20" t="str">
        <f t="shared" si="5"/>
        <v>00000</v>
      </c>
      <c r="Q10" s="26" t="str">
        <f t="shared" si="6"/>
        <v xml:space="preserve"> 000000000000</v>
      </c>
      <c r="R10" s="20" t="str">
        <f t="shared" si="7"/>
        <v xml:space="preserve"> </v>
      </c>
      <c r="S10" s="10"/>
      <c r="T10" s="36" t="str">
        <f>IF($A10="S",(_xlfn.CONCAT(
REGISTRO_DETALHE!$I$4:$I$6,
TED!$B10,
REGISTRO_DETALHE!$I$8:$I$10,
TED!$O10:$R10,
TED!$L10,
REGISTRO_DETALHE!$I$14:$I$19,
TED!$N10,
REGISTRO_DETALHE!$I$21:$I$23,
TED!$N10,
REGISTRO_DETALHE!$I$25:$I$26,
TED!$M10,
REGISTRO_DETALHE!$I$28:$I$32))," ")</f>
        <v xml:space="preserve"> </v>
      </c>
      <c r="U10" s="10"/>
    </row>
    <row r="11" spans="1:21" s="16" customFormat="1" ht="21.95" customHeight="1" x14ac:dyDescent="0.25">
      <c r="A11" s="33" t="str">
        <f t="shared" si="8"/>
        <v>N</v>
      </c>
      <c r="B11" s="17" t="str">
        <f t="shared" si="1"/>
        <v/>
      </c>
      <c r="C11" s="53"/>
      <c r="D11" s="54"/>
      <c r="E11" s="55"/>
      <c r="F11" s="59"/>
      <c r="G11" s="57"/>
      <c r="H11" s="57"/>
      <c r="I11" s="59"/>
      <c r="J11" s="60"/>
      <c r="K11" s="10"/>
      <c r="L11" s="25" t="str">
        <f t="shared" si="2"/>
        <v xml:space="preserve">                              </v>
      </c>
      <c r="M11" s="27" t="str">
        <f t="shared" si="9"/>
        <v/>
      </c>
      <c r="N11" s="27" t="str">
        <f>TEXT((SUBSTITUTE(SUBSTITUTE((E11*100),",",""),".","")),"000000000000000")</f>
        <v>000000000000000</v>
      </c>
      <c r="O11" s="20" t="str">
        <f t="shared" si="4"/>
        <v>000</v>
      </c>
      <c r="P11" s="20" t="str">
        <f t="shared" si="5"/>
        <v>00000</v>
      </c>
      <c r="Q11" s="26" t="str">
        <f t="shared" si="6"/>
        <v xml:space="preserve"> 000000000000</v>
      </c>
      <c r="R11" s="20" t="str">
        <f t="shared" si="7"/>
        <v xml:space="preserve"> </v>
      </c>
      <c r="S11" s="10"/>
      <c r="T11" s="36" t="str">
        <f>IF($A11="S",(_xlfn.CONCAT(
REGISTRO_DETALHE!$I$4:$I$6,
TED!$B11,
REGISTRO_DETALHE!$I$8:$I$10,
TED!$O11:$R11,
TED!$L11,
REGISTRO_DETALHE!$I$14:$I$19,
TED!$N11,
REGISTRO_DETALHE!$I$21:$I$23,
TED!$N11,
REGISTRO_DETALHE!$I$25:$I$26,
TED!$M11,
REGISTRO_DETALHE!$I$28:$I$32))," ")</f>
        <v xml:space="preserve"> </v>
      </c>
      <c r="U11" s="10"/>
    </row>
    <row r="12" spans="1:21" s="16" customFormat="1" ht="21.95" customHeight="1" x14ac:dyDescent="0.25">
      <c r="A12" s="33" t="str">
        <f t="shared" si="8"/>
        <v>N</v>
      </c>
      <c r="B12" s="17" t="str">
        <f t="shared" si="1"/>
        <v/>
      </c>
      <c r="C12" s="53"/>
      <c r="D12" s="54"/>
      <c r="E12" s="55"/>
      <c r="F12" s="59"/>
      <c r="G12" s="57"/>
      <c r="H12" s="57"/>
      <c r="I12" s="59"/>
      <c r="J12" s="60"/>
      <c r="K12" s="10"/>
      <c r="L12" s="25" t="str">
        <f>IF(LEN(C12)&lt;30,
_xlfn.CONCAT((C12),REPT(" ",(30-(LEN(C12))))),
(LEFT(C12,30)))</f>
        <v xml:space="preserve">                              </v>
      </c>
      <c r="M12" s="27" t="str">
        <f t="shared" si="9"/>
        <v/>
      </c>
      <c r="N12" s="27" t="str">
        <f t="shared" ref="N12:N75" si="10">TEXT((SUBSTITUTE(SUBSTITUTE((E12*100),",",""),".","")),"000000000000000")</f>
        <v>000000000000000</v>
      </c>
      <c r="O12" s="20" t="str">
        <f t="shared" si="4"/>
        <v>000</v>
      </c>
      <c r="P12" s="20" t="str">
        <f t="shared" si="5"/>
        <v>00000</v>
      </c>
      <c r="Q12" s="26" t="str">
        <f t="shared" si="6"/>
        <v xml:space="preserve"> 000000000000</v>
      </c>
      <c r="R12" s="20" t="str">
        <f t="shared" si="7"/>
        <v xml:space="preserve"> </v>
      </c>
      <c r="S12" s="10"/>
      <c r="T12" s="36" t="str">
        <f>IF($A12="S",(_xlfn.CONCAT(
REGISTRO_DETALHE!$I$4:$I$6,
TED!$B12,
REGISTRO_DETALHE!$I$8:$I$10,
TED!$O12:$R12,
TED!$L12,
REGISTRO_DETALHE!$I$14:$I$19,
TED!$N12,
REGISTRO_DETALHE!$I$21:$I$23,
TED!$N12,
REGISTRO_DETALHE!$I$25:$I$26,
TED!$M12,
REGISTRO_DETALHE!$I$28:$I$32))," ")</f>
        <v xml:space="preserve"> </v>
      </c>
      <c r="U12" s="10"/>
    </row>
    <row r="13" spans="1:21" s="16" customFormat="1" ht="21.95" customHeight="1" x14ac:dyDescent="0.25">
      <c r="A13" s="33" t="str">
        <f t="shared" si="8"/>
        <v>N</v>
      </c>
      <c r="B13" s="17" t="str">
        <f t="shared" si="1"/>
        <v/>
      </c>
      <c r="C13" s="53"/>
      <c r="D13" s="54"/>
      <c r="E13" s="55"/>
      <c r="F13" s="59"/>
      <c r="G13" s="57"/>
      <c r="H13" s="58"/>
      <c r="I13" s="59"/>
      <c r="J13" s="60"/>
      <c r="K13" s="10"/>
      <c r="L13" s="25" t="str">
        <f t="shared" ref="L13:L18" si="11">IF(LEN(C13)&lt;30,
_xlfn.CONCAT((C13),REPT(" ",(30-(LEN(C13))))),
(LEFT(C13,30)))</f>
        <v xml:space="preserve">                              </v>
      </c>
      <c r="M13" s="27" t="str">
        <f t="shared" si="9"/>
        <v/>
      </c>
      <c r="N13" s="27" t="str">
        <f t="shared" si="10"/>
        <v>000000000000000</v>
      </c>
      <c r="O13" s="20" t="str">
        <f t="shared" si="4"/>
        <v>000</v>
      </c>
      <c r="P13" s="20" t="str">
        <f t="shared" si="5"/>
        <v>00000</v>
      </c>
      <c r="Q13" s="26" t="str">
        <f t="shared" si="6"/>
        <v xml:space="preserve"> 000000000000</v>
      </c>
      <c r="R13" s="20" t="str">
        <f t="shared" si="7"/>
        <v xml:space="preserve"> </v>
      </c>
      <c r="S13" s="10"/>
      <c r="T13" s="36" t="str">
        <f>IF($A13="S",(_xlfn.CONCAT(
REGISTRO_DETALHE!$I$4:$I$6,
TED!$B13,
REGISTRO_DETALHE!$I$8:$I$10,
TED!$O13:$R13,
TED!$L13,
REGISTRO_DETALHE!$I$14:$I$19,
TED!$N13,
REGISTRO_DETALHE!$I$21:$I$23,
TED!$N13,
REGISTRO_DETALHE!$I$25:$I$26,
TED!$M13,
REGISTRO_DETALHE!$I$28:$I$32))," ")</f>
        <v xml:space="preserve"> </v>
      </c>
      <c r="U13" s="10"/>
    </row>
    <row r="14" spans="1:21" s="16" customFormat="1" ht="21.95" customHeight="1" x14ac:dyDescent="0.25">
      <c r="A14" s="33" t="str">
        <f t="shared" si="8"/>
        <v>N</v>
      </c>
      <c r="B14" s="17" t="str">
        <f t="shared" si="1"/>
        <v/>
      </c>
      <c r="C14" s="53"/>
      <c r="D14" s="54"/>
      <c r="E14" s="55"/>
      <c r="F14" s="56"/>
      <c r="G14" s="57"/>
      <c r="H14" s="57"/>
      <c r="I14" s="59"/>
      <c r="J14" s="60"/>
      <c r="K14" s="10"/>
      <c r="L14" s="25" t="str">
        <f t="shared" si="11"/>
        <v xml:space="preserve">                              </v>
      </c>
      <c r="M14" s="27" t="str">
        <f t="shared" si="9"/>
        <v/>
      </c>
      <c r="N14" s="27" t="str">
        <f t="shared" si="10"/>
        <v>000000000000000</v>
      </c>
      <c r="O14" s="20" t="str">
        <f t="shared" si="4"/>
        <v>000</v>
      </c>
      <c r="P14" s="20" t="str">
        <f t="shared" si="5"/>
        <v>00000</v>
      </c>
      <c r="Q14" s="26" t="str">
        <f t="shared" si="6"/>
        <v xml:space="preserve"> 000000000000</v>
      </c>
      <c r="R14" s="20" t="str">
        <f t="shared" si="7"/>
        <v xml:space="preserve"> </v>
      </c>
      <c r="S14" s="10"/>
      <c r="T14" s="36" t="str">
        <f>IF($A14="S",(_xlfn.CONCAT(
REGISTRO_DETALHE!$I$4:$I$6,
TED!$B14,
REGISTRO_DETALHE!$I$8:$I$10,
TED!$O14:$R14,
TED!$L14,
REGISTRO_DETALHE!$I$14:$I$19,
TED!$N14,
REGISTRO_DETALHE!$I$21:$I$23,
TED!$N14,
REGISTRO_DETALHE!$I$25:$I$26,
TED!$M14,
REGISTRO_DETALHE!$I$28:$I$32))," ")</f>
        <v xml:space="preserve"> </v>
      </c>
      <c r="U14" s="10"/>
    </row>
    <row r="15" spans="1:21" s="16" customFormat="1" ht="21.95" customHeight="1" x14ac:dyDescent="0.25">
      <c r="A15" s="33" t="str">
        <f t="shared" si="8"/>
        <v>N</v>
      </c>
      <c r="B15" s="17" t="str">
        <f t="shared" si="1"/>
        <v/>
      </c>
      <c r="C15" s="53"/>
      <c r="D15" s="54"/>
      <c r="E15" s="55"/>
      <c r="F15" s="59"/>
      <c r="G15" s="57"/>
      <c r="H15" s="57"/>
      <c r="I15" s="59"/>
      <c r="J15" s="60"/>
      <c r="K15" s="10"/>
      <c r="L15" s="25" t="str">
        <f t="shared" si="11"/>
        <v xml:space="preserve">                              </v>
      </c>
      <c r="M15" s="27" t="str">
        <f t="shared" si="9"/>
        <v/>
      </c>
      <c r="N15" s="27" t="str">
        <f t="shared" si="10"/>
        <v>000000000000000</v>
      </c>
      <c r="O15" s="20" t="str">
        <f t="shared" si="4"/>
        <v>000</v>
      </c>
      <c r="P15" s="20" t="str">
        <f t="shared" si="5"/>
        <v>00000</v>
      </c>
      <c r="Q15" s="26" t="str">
        <f t="shared" si="6"/>
        <v xml:space="preserve"> 000000000000</v>
      </c>
      <c r="R15" s="20" t="str">
        <f t="shared" si="7"/>
        <v xml:space="preserve"> </v>
      </c>
      <c r="S15" s="10"/>
      <c r="T15" s="36" t="str">
        <f>IF($A15="S",(_xlfn.CONCAT(
REGISTRO_DETALHE!$I$4:$I$6,
TED!$B15,
REGISTRO_DETALHE!$I$8:$I$10,
TED!$O15:$R15,
TED!$L15,
REGISTRO_DETALHE!$I$14:$I$19,
TED!$N15,
REGISTRO_DETALHE!$I$21:$I$23,
TED!$N15,
REGISTRO_DETALHE!$I$25:$I$26,
TED!$M15,
REGISTRO_DETALHE!$I$28:$I$32))," ")</f>
        <v xml:space="preserve"> </v>
      </c>
      <c r="U15" s="10"/>
    </row>
    <row r="16" spans="1:21" s="16" customFormat="1" ht="21.95" customHeight="1" x14ac:dyDescent="0.25">
      <c r="A16" s="33" t="str">
        <f t="shared" si="8"/>
        <v>N</v>
      </c>
      <c r="B16" s="17" t="str">
        <f t="shared" si="1"/>
        <v/>
      </c>
      <c r="C16" s="53"/>
      <c r="D16" s="54"/>
      <c r="E16" s="55"/>
      <c r="F16" s="56"/>
      <c r="G16" s="57"/>
      <c r="H16" s="57"/>
      <c r="I16" s="59"/>
      <c r="J16" s="60"/>
      <c r="K16" s="10"/>
      <c r="L16" s="25" t="str">
        <f t="shared" si="11"/>
        <v xml:space="preserve">                              </v>
      </c>
      <c r="M16" s="27" t="str">
        <f t="shared" si="9"/>
        <v/>
      </c>
      <c r="N16" s="27" t="str">
        <f t="shared" si="10"/>
        <v>000000000000000</v>
      </c>
      <c r="O16" s="20" t="str">
        <f t="shared" si="4"/>
        <v>000</v>
      </c>
      <c r="P16" s="20" t="str">
        <f t="shared" si="5"/>
        <v>00000</v>
      </c>
      <c r="Q16" s="26" t="str">
        <f t="shared" si="6"/>
        <v xml:space="preserve"> 000000000000</v>
      </c>
      <c r="R16" s="20" t="str">
        <f t="shared" si="7"/>
        <v xml:space="preserve"> </v>
      </c>
      <c r="S16" s="10"/>
      <c r="T16" s="36" t="str">
        <f>IF($A16="S",(_xlfn.CONCAT(
REGISTRO_DETALHE!$I$4:$I$6,
TED!$B16,
REGISTRO_DETALHE!$I$8:$I$10,
TED!$O16:$R16,
TED!$L16,
REGISTRO_DETALHE!$I$14:$I$19,
TED!$N16,
REGISTRO_DETALHE!$I$21:$I$23,
TED!$N16,
REGISTRO_DETALHE!$I$25:$I$26,
TED!$M16,
REGISTRO_DETALHE!$I$28:$I$32))," ")</f>
        <v xml:space="preserve"> </v>
      </c>
      <c r="U16" s="10"/>
    </row>
    <row r="17" spans="1:21" s="16" customFormat="1" ht="21.95" customHeight="1" x14ac:dyDescent="0.25">
      <c r="A17" s="33" t="str">
        <f t="shared" si="8"/>
        <v>N</v>
      </c>
      <c r="B17" s="17" t="str">
        <f t="shared" si="1"/>
        <v/>
      </c>
      <c r="C17" s="53"/>
      <c r="D17" s="54"/>
      <c r="E17" s="55"/>
      <c r="F17" s="56"/>
      <c r="G17" s="57"/>
      <c r="H17" s="58"/>
      <c r="I17" s="59"/>
      <c r="J17" s="60"/>
      <c r="K17" s="10"/>
      <c r="L17" s="25" t="str">
        <f t="shared" si="11"/>
        <v xml:space="preserve">                              </v>
      </c>
      <c r="M17" s="27" t="str">
        <f t="shared" si="9"/>
        <v/>
      </c>
      <c r="N17" s="27" t="str">
        <f t="shared" si="10"/>
        <v>000000000000000</v>
      </c>
      <c r="O17" s="20" t="str">
        <f t="shared" si="4"/>
        <v>000</v>
      </c>
      <c r="P17" s="20" t="str">
        <f t="shared" si="5"/>
        <v>00000</v>
      </c>
      <c r="Q17" s="26" t="str">
        <f t="shared" si="6"/>
        <v xml:space="preserve"> 000000000000</v>
      </c>
      <c r="R17" s="20" t="str">
        <f t="shared" si="7"/>
        <v xml:space="preserve"> </v>
      </c>
      <c r="S17" s="10"/>
      <c r="T17" s="36" t="str">
        <f>IF($A17="S",(_xlfn.CONCAT(
REGISTRO_DETALHE!$I$4:$I$6,
TED!$B17,
REGISTRO_DETALHE!$I$8:$I$10,
TED!$O17:$R17,
TED!$L17,
REGISTRO_DETALHE!$I$14:$I$19,
TED!$N17,
REGISTRO_DETALHE!$I$21:$I$23,
TED!$N17,
REGISTRO_DETALHE!$I$25:$I$26,
TED!$M17,
REGISTRO_DETALHE!$I$28:$I$32))," ")</f>
        <v xml:space="preserve"> </v>
      </c>
      <c r="U17" s="10"/>
    </row>
    <row r="18" spans="1:21" s="16" customFormat="1" ht="21.95" customHeight="1" x14ac:dyDescent="0.25">
      <c r="A18" s="33" t="str">
        <f t="shared" si="8"/>
        <v>N</v>
      </c>
      <c r="B18" s="17" t="str">
        <f t="shared" si="1"/>
        <v/>
      </c>
      <c r="C18" s="53"/>
      <c r="D18" s="54"/>
      <c r="E18" s="55"/>
      <c r="F18" s="56"/>
      <c r="G18" s="57"/>
      <c r="H18" s="57"/>
      <c r="I18" s="59"/>
      <c r="J18" s="60"/>
      <c r="K18" s="10"/>
      <c r="L18" s="25" t="str">
        <f t="shared" si="11"/>
        <v xml:space="preserve">                              </v>
      </c>
      <c r="M18" s="27" t="str">
        <f t="shared" si="9"/>
        <v/>
      </c>
      <c r="N18" s="27" t="str">
        <f t="shared" si="10"/>
        <v>000000000000000</v>
      </c>
      <c r="O18" s="20" t="str">
        <f t="shared" si="4"/>
        <v>000</v>
      </c>
      <c r="P18" s="20" t="str">
        <f t="shared" si="5"/>
        <v>00000</v>
      </c>
      <c r="Q18" s="26" t="str">
        <f t="shared" si="6"/>
        <v xml:space="preserve"> 000000000000</v>
      </c>
      <c r="R18" s="20" t="str">
        <f t="shared" si="7"/>
        <v xml:space="preserve"> </v>
      </c>
      <c r="S18" s="10"/>
      <c r="T18" s="36" t="str">
        <f>IF($A18="S",(_xlfn.CONCAT(
REGISTRO_DETALHE!$I$4:$I$6,
TED!$B18,
REGISTRO_DETALHE!$I$8:$I$10,
TED!$O18:$R18,
TED!$L18,
REGISTRO_DETALHE!$I$14:$I$19,
TED!$N18,
REGISTRO_DETALHE!$I$21:$I$23,
TED!$N18,
REGISTRO_DETALHE!$I$25:$I$26,
TED!$M18,
REGISTRO_DETALHE!$I$28:$I$32))," ")</f>
        <v xml:space="preserve"> </v>
      </c>
      <c r="U18" s="10"/>
    </row>
    <row r="19" spans="1:21" s="16" customFormat="1" ht="21.95" customHeight="1" x14ac:dyDescent="0.25">
      <c r="A19" s="33" t="str">
        <f t="shared" si="8"/>
        <v>N</v>
      </c>
      <c r="B19" s="17" t="str">
        <f t="shared" si="1"/>
        <v/>
      </c>
      <c r="C19" s="53"/>
      <c r="D19" s="54"/>
      <c r="E19" s="55"/>
      <c r="F19" s="59"/>
      <c r="G19" s="57"/>
      <c r="H19" s="57"/>
      <c r="I19" s="59"/>
      <c r="J19" s="60"/>
      <c r="K19" s="10"/>
      <c r="L19" s="25" t="str">
        <f t="shared" ref="L19:L82" si="12">IF(LEN(C19)&lt;30,
_xlfn.CONCAT((C19),REPT(" ",(30-(LEN(C19))))),
(LEFT(C19,30)))</f>
        <v xml:space="preserve">                              </v>
      </c>
      <c r="M19" s="27" t="str">
        <f t="shared" si="9"/>
        <v/>
      </c>
      <c r="N19" s="27" t="str">
        <f t="shared" si="10"/>
        <v>000000000000000</v>
      </c>
      <c r="O19" s="20" t="str">
        <f t="shared" si="4"/>
        <v>000</v>
      </c>
      <c r="P19" s="20" t="str">
        <f t="shared" si="5"/>
        <v>00000</v>
      </c>
      <c r="Q19" s="26" t="str">
        <f t="shared" si="6"/>
        <v xml:space="preserve"> 000000000000</v>
      </c>
      <c r="R19" s="20" t="str">
        <f t="shared" si="7"/>
        <v xml:space="preserve"> </v>
      </c>
      <c r="S19" s="10"/>
      <c r="T19" s="36" t="str">
        <f>IF($A19="S",(_xlfn.CONCAT(
REGISTRO_DETALHE!$I$4:$I$6,
TED!$B19,
REGISTRO_DETALHE!$I$8:$I$10,
TED!$O19:$R19,
TED!$L19,
REGISTRO_DETALHE!$I$14:$I$19,
TED!$N19,
REGISTRO_DETALHE!$I$21:$I$23,
TED!$N19,
REGISTRO_DETALHE!$I$25:$I$26,
TED!$M19,
REGISTRO_DETALHE!$I$28:$I$32))," ")</f>
        <v xml:space="preserve"> </v>
      </c>
      <c r="U19" s="10"/>
    </row>
    <row r="20" spans="1:21" s="16" customFormat="1" ht="21.95" customHeight="1" x14ac:dyDescent="0.25">
      <c r="A20" s="33" t="str">
        <f t="shared" si="8"/>
        <v>N</v>
      </c>
      <c r="B20" s="17" t="str">
        <f t="shared" si="1"/>
        <v/>
      </c>
      <c r="C20" s="53"/>
      <c r="D20" s="54"/>
      <c r="E20" s="55"/>
      <c r="F20" s="59"/>
      <c r="G20" s="57"/>
      <c r="H20" s="57"/>
      <c r="I20" s="59"/>
      <c r="J20" s="60"/>
      <c r="K20" s="10"/>
      <c r="L20" s="25" t="str">
        <f t="shared" si="12"/>
        <v xml:space="preserve">                              </v>
      </c>
      <c r="M20" s="27" t="str">
        <f t="shared" si="9"/>
        <v/>
      </c>
      <c r="N20" s="27" t="str">
        <f t="shared" si="10"/>
        <v>000000000000000</v>
      </c>
      <c r="O20" s="20" t="str">
        <f t="shared" si="4"/>
        <v>000</v>
      </c>
      <c r="P20" s="20" t="str">
        <f t="shared" si="5"/>
        <v>00000</v>
      </c>
      <c r="Q20" s="26" t="str">
        <f t="shared" si="6"/>
        <v xml:space="preserve"> 000000000000</v>
      </c>
      <c r="R20" s="20" t="str">
        <f t="shared" si="7"/>
        <v xml:space="preserve"> </v>
      </c>
      <c r="S20" s="10"/>
      <c r="T20" s="36" t="str">
        <f>IF($A20="S",(_xlfn.CONCAT(
REGISTRO_DETALHE!$I$4:$I$6,
TED!$B20,
REGISTRO_DETALHE!$I$8:$I$10,
TED!$O20:$R20,
TED!$L20,
REGISTRO_DETALHE!$I$14:$I$19,
TED!$N20,
REGISTRO_DETALHE!$I$21:$I$23,
TED!$N20,
REGISTRO_DETALHE!$I$25:$I$26,
TED!$M20,
REGISTRO_DETALHE!$I$28:$I$32))," ")</f>
        <v xml:space="preserve"> </v>
      </c>
      <c r="U20" s="10"/>
    </row>
    <row r="21" spans="1:21" s="16" customFormat="1" ht="21.95" customHeight="1" x14ac:dyDescent="0.25">
      <c r="A21" s="33" t="str">
        <f t="shared" si="8"/>
        <v>N</v>
      </c>
      <c r="B21" s="17" t="str">
        <f t="shared" si="1"/>
        <v/>
      </c>
      <c r="C21" s="53"/>
      <c r="D21" s="54"/>
      <c r="E21" s="55"/>
      <c r="F21" s="59"/>
      <c r="G21" s="57"/>
      <c r="H21" s="57"/>
      <c r="I21" s="59"/>
      <c r="J21" s="60"/>
      <c r="K21" s="10"/>
      <c r="L21" s="25" t="str">
        <f t="shared" si="12"/>
        <v xml:space="preserve">                              </v>
      </c>
      <c r="M21" s="27" t="str">
        <f t="shared" si="9"/>
        <v/>
      </c>
      <c r="N21" s="27" t="str">
        <f t="shared" si="10"/>
        <v>000000000000000</v>
      </c>
      <c r="O21" s="20" t="str">
        <f t="shared" si="4"/>
        <v>000</v>
      </c>
      <c r="P21" s="20" t="str">
        <f t="shared" si="5"/>
        <v>00000</v>
      </c>
      <c r="Q21" s="26" t="str">
        <f t="shared" si="6"/>
        <v xml:space="preserve"> 000000000000</v>
      </c>
      <c r="R21" s="20" t="str">
        <f t="shared" si="7"/>
        <v xml:space="preserve"> </v>
      </c>
      <c r="S21" s="10"/>
      <c r="T21" s="36" t="str">
        <f>IF($A21="S",(_xlfn.CONCAT(
REGISTRO_DETALHE!$I$4:$I$6,
TED!$B21,
REGISTRO_DETALHE!$I$8:$I$10,
TED!$O21:$R21,
TED!$L21,
REGISTRO_DETALHE!$I$14:$I$19,
TED!$N21,
REGISTRO_DETALHE!$I$21:$I$23,
TED!$N21,
REGISTRO_DETALHE!$I$25:$I$26,
TED!$M21,
REGISTRO_DETALHE!$I$28:$I$32))," ")</f>
        <v xml:space="preserve"> </v>
      </c>
      <c r="U21" s="10"/>
    </row>
    <row r="22" spans="1:21" s="16" customFormat="1" ht="21.95" customHeight="1" x14ac:dyDescent="0.25">
      <c r="A22" s="33" t="str">
        <f t="shared" si="8"/>
        <v>N</v>
      </c>
      <c r="B22" s="17" t="str">
        <f t="shared" si="1"/>
        <v/>
      </c>
      <c r="C22" s="53"/>
      <c r="D22" s="54"/>
      <c r="E22" s="55"/>
      <c r="F22" s="59"/>
      <c r="G22" s="57"/>
      <c r="H22" s="57"/>
      <c r="I22" s="59"/>
      <c r="J22" s="60"/>
      <c r="K22" s="10"/>
      <c r="L22" s="25" t="str">
        <f t="shared" si="12"/>
        <v xml:space="preserve">                              </v>
      </c>
      <c r="M22" s="27" t="str">
        <f t="shared" si="9"/>
        <v/>
      </c>
      <c r="N22" s="27" t="str">
        <f t="shared" si="10"/>
        <v>000000000000000</v>
      </c>
      <c r="O22" s="20" t="str">
        <f t="shared" si="4"/>
        <v>000</v>
      </c>
      <c r="P22" s="20" t="str">
        <f t="shared" si="5"/>
        <v>00000</v>
      </c>
      <c r="Q22" s="26" t="str">
        <f t="shared" si="6"/>
        <v xml:space="preserve"> 000000000000</v>
      </c>
      <c r="R22" s="20" t="str">
        <f t="shared" si="7"/>
        <v xml:space="preserve"> </v>
      </c>
      <c r="S22" s="10"/>
      <c r="T22" s="36" t="str">
        <f>IF($A22="S",(_xlfn.CONCAT(
REGISTRO_DETALHE!$I$4:$I$6,
TED!$B22,
REGISTRO_DETALHE!$I$8:$I$10,
TED!$O22:$R22,
TED!$L22,
REGISTRO_DETALHE!$I$14:$I$19,
TED!$N22,
REGISTRO_DETALHE!$I$21:$I$23,
TED!$N22,
REGISTRO_DETALHE!$I$25:$I$26,
TED!$M22,
REGISTRO_DETALHE!$I$28:$I$32))," ")</f>
        <v xml:space="preserve"> </v>
      </c>
      <c r="U22" s="10"/>
    </row>
    <row r="23" spans="1:21" s="16" customFormat="1" ht="21.95" customHeight="1" x14ac:dyDescent="0.25">
      <c r="A23" s="33" t="str">
        <f t="shared" si="8"/>
        <v>N</v>
      </c>
      <c r="B23" s="17" t="str">
        <f t="shared" si="1"/>
        <v/>
      </c>
      <c r="C23" s="53"/>
      <c r="D23" s="54"/>
      <c r="E23" s="55"/>
      <c r="F23" s="56"/>
      <c r="G23" s="57"/>
      <c r="H23" s="57"/>
      <c r="I23" s="59"/>
      <c r="J23" s="60"/>
      <c r="K23" s="10"/>
      <c r="L23" s="25" t="str">
        <f t="shared" si="12"/>
        <v xml:space="preserve">                              </v>
      </c>
      <c r="M23" s="27" t="str">
        <f t="shared" si="9"/>
        <v/>
      </c>
      <c r="N23" s="27" t="str">
        <f t="shared" si="10"/>
        <v>000000000000000</v>
      </c>
      <c r="O23" s="20" t="str">
        <f t="shared" si="4"/>
        <v>000</v>
      </c>
      <c r="P23" s="20" t="str">
        <f t="shared" si="5"/>
        <v>00000</v>
      </c>
      <c r="Q23" s="26" t="str">
        <f t="shared" si="6"/>
        <v xml:space="preserve"> 000000000000</v>
      </c>
      <c r="R23" s="20" t="str">
        <f t="shared" si="7"/>
        <v xml:space="preserve"> </v>
      </c>
      <c r="S23" s="10"/>
      <c r="T23" s="36" t="str">
        <f>IF($A23="S",(_xlfn.CONCAT(
REGISTRO_DETALHE!$I$4:$I$6,
TED!$B23,
REGISTRO_DETALHE!$I$8:$I$10,
TED!$O23:$R23,
TED!$L23,
REGISTRO_DETALHE!$I$14:$I$19,
TED!$N23,
REGISTRO_DETALHE!$I$21:$I$23,
TED!$N23,
REGISTRO_DETALHE!$I$25:$I$26,
TED!$M23,
REGISTRO_DETALHE!$I$28:$I$32))," ")</f>
        <v xml:space="preserve"> </v>
      </c>
      <c r="U23" s="10"/>
    </row>
    <row r="24" spans="1:21" s="16" customFormat="1" ht="21.95" customHeight="1" x14ac:dyDescent="0.25">
      <c r="A24" s="33" t="str">
        <f t="shared" si="8"/>
        <v>N</v>
      </c>
      <c r="B24" s="17" t="str">
        <f t="shared" si="1"/>
        <v/>
      </c>
      <c r="C24" s="53"/>
      <c r="D24" s="54"/>
      <c r="E24" s="55"/>
      <c r="F24" s="59"/>
      <c r="G24" s="57"/>
      <c r="H24" s="57"/>
      <c r="I24" s="59"/>
      <c r="J24" s="60"/>
      <c r="K24" s="10"/>
      <c r="L24" s="25" t="str">
        <f t="shared" si="12"/>
        <v xml:space="preserve">                              </v>
      </c>
      <c r="M24" s="27" t="str">
        <f t="shared" si="9"/>
        <v/>
      </c>
      <c r="N24" s="27" t="str">
        <f t="shared" si="10"/>
        <v>000000000000000</v>
      </c>
      <c r="O24" s="20" t="str">
        <f t="shared" si="4"/>
        <v>000</v>
      </c>
      <c r="P24" s="20" t="str">
        <f t="shared" si="5"/>
        <v>00000</v>
      </c>
      <c r="Q24" s="26" t="str">
        <f t="shared" si="6"/>
        <v xml:space="preserve"> 000000000000</v>
      </c>
      <c r="R24" s="20" t="str">
        <f t="shared" si="7"/>
        <v xml:space="preserve"> </v>
      </c>
      <c r="S24" s="10"/>
      <c r="T24" s="36" t="str">
        <f>IF($A24="S",(_xlfn.CONCAT(
REGISTRO_DETALHE!$I$4:$I$6,
TED!$B24,
REGISTRO_DETALHE!$I$8:$I$10,
TED!$O24:$R24,
TED!$L24,
REGISTRO_DETALHE!$I$14:$I$19,
TED!$N24,
REGISTRO_DETALHE!$I$21:$I$23,
TED!$N24,
REGISTRO_DETALHE!$I$25:$I$26,
TED!$M24,
REGISTRO_DETALHE!$I$28:$I$32))," ")</f>
        <v xml:space="preserve"> </v>
      </c>
      <c r="U24" s="10"/>
    </row>
    <row r="25" spans="1:21" s="16" customFormat="1" ht="21.95" customHeight="1" x14ac:dyDescent="0.25">
      <c r="A25" s="33" t="str">
        <f t="shared" si="8"/>
        <v>N</v>
      </c>
      <c r="B25" s="17" t="str">
        <f t="shared" si="1"/>
        <v/>
      </c>
      <c r="C25" s="53"/>
      <c r="D25" s="54"/>
      <c r="E25" s="55"/>
      <c r="F25" s="59"/>
      <c r="G25" s="57"/>
      <c r="H25" s="57"/>
      <c r="I25" s="59"/>
      <c r="J25" s="60"/>
      <c r="K25" s="10"/>
      <c r="L25" s="25" t="str">
        <f t="shared" si="12"/>
        <v xml:space="preserve">                              </v>
      </c>
      <c r="M25" s="27" t="str">
        <f t="shared" si="9"/>
        <v/>
      </c>
      <c r="N25" s="27" t="str">
        <f t="shared" si="10"/>
        <v>000000000000000</v>
      </c>
      <c r="O25" s="20" t="str">
        <f t="shared" si="4"/>
        <v>000</v>
      </c>
      <c r="P25" s="20" t="str">
        <f t="shared" si="5"/>
        <v>00000</v>
      </c>
      <c r="Q25" s="26" t="str">
        <f t="shared" si="6"/>
        <v xml:space="preserve"> 000000000000</v>
      </c>
      <c r="R25" s="20" t="str">
        <f t="shared" si="7"/>
        <v xml:space="preserve"> </v>
      </c>
      <c r="S25" s="10"/>
      <c r="T25" s="36" t="str">
        <f>IF($A25="S",(_xlfn.CONCAT(
REGISTRO_DETALHE!$I$4:$I$6,
TED!$B25,
REGISTRO_DETALHE!$I$8:$I$10,
TED!$O25:$R25,
TED!$L25,
REGISTRO_DETALHE!$I$14:$I$19,
TED!$N25,
REGISTRO_DETALHE!$I$21:$I$23,
TED!$N25,
REGISTRO_DETALHE!$I$25:$I$26,
TED!$M25,
REGISTRO_DETALHE!$I$28:$I$32))," ")</f>
        <v xml:space="preserve"> </v>
      </c>
      <c r="U25" s="10"/>
    </row>
    <row r="26" spans="1:21" s="16" customFormat="1" ht="21.95" customHeight="1" x14ac:dyDescent="0.25">
      <c r="A26" s="33" t="str">
        <f t="shared" si="8"/>
        <v>N</v>
      </c>
      <c r="B26" s="17" t="str">
        <f t="shared" ref="B26:B40" si="13">IF(C26="","",(TEXT((B25+1),"00000")))</f>
        <v/>
      </c>
      <c r="C26" s="53"/>
      <c r="D26" s="54"/>
      <c r="E26" s="55"/>
      <c r="F26" s="56"/>
      <c r="G26" s="57"/>
      <c r="H26" s="57"/>
      <c r="I26" s="59"/>
      <c r="J26" s="60"/>
      <c r="K26" s="10"/>
      <c r="L26" s="25" t="str">
        <f t="shared" si="12"/>
        <v xml:space="preserve">                              </v>
      </c>
      <c r="M26" s="27" t="str">
        <f t="shared" si="9"/>
        <v/>
      </c>
      <c r="N26" s="27" t="str">
        <f t="shared" si="10"/>
        <v>000000000000000</v>
      </c>
      <c r="O26" s="20" t="str">
        <f t="shared" si="4"/>
        <v>000</v>
      </c>
      <c r="P26" s="20" t="str">
        <f t="shared" si="5"/>
        <v>00000</v>
      </c>
      <c r="Q26" s="26" t="str">
        <f t="shared" si="6"/>
        <v xml:space="preserve"> 000000000000</v>
      </c>
      <c r="R26" s="20" t="str">
        <f t="shared" si="7"/>
        <v xml:space="preserve"> </v>
      </c>
      <c r="S26" s="10"/>
      <c r="T26" s="36" t="str">
        <f>IF($A26="S",(_xlfn.CONCAT(
REGISTRO_DETALHE!$I$4:$I$6,
TED!$B26,
REGISTRO_DETALHE!$I$8:$I$10,
TED!$O26:$R26,
TED!$L26,
REGISTRO_DETALHE!$I$14:$I$19,
TED!$N26,
REGISTRO_DETALHE!$I$21:$I$23,
TED!$N26,
REGISTRO_DETALHE!$I$25:$I$26,
TED!$M26,
REGISTRO_DETALHE!$I$28:$I$32))," ")</f>
        <v xml:space="preserve"> </v>
      </c>
      <c r="U26" s="10"/>
    </row>
    <row r="27" spans="1:21" s="16" customFormat="1" ht="21.95" customHeight="1" x14ac:dyDescent="0.25">
      <c r="A27" s="33" t="str">
        <f t="shared" si="8"/>
        <v>N</v>
      </c>
      <c r="B27" s="17" t="str">
        <f t="shared" si="13"/>
        <v/>
      </c>
      <c r="C27" s="53"/>
      <c r="D27" s="54"/>
      <c r="E27" s="55"/>
      <c r="F27" s="56"/>
      <c r="G27" s="57"/>
      <c r="H27" s="58"/>
      <c r="I27" s="59"/>
      <c r="J27" s="60"/>
      <c r="K27" s="10"/>
      <c r="L27" s="25" t="str">
        <f t="shared" si="12"/>
        <v xml:space="preserve">                              </v>
      </c>
      <c r="M27" s="27" t="str">
        <f t="shared" si="9"/>
        <v/>
      </c>
      <c r="N27" s="27" t="str">
        <f t="shared" si="10"/>
        <v>000000000000000</v>
      </c>
      <c r="O27" s="20" t="str">
        <f t="shared" si="4"/>
        <v>000</v>
      </c>
      <c r="P27" s="20" t="str">
        <f t="shared" si="5"/>
        <v>00000</v>
      </c>
      <c r="Q27" s="26" t="str">
        <f t="shared" si="6"/>
        <v xml:space="preserve"> 000000000000</v>
      </c>
      <c r="R27" s="20" t="str">
        <f t="shared" si="7"/>
        <v xml:space="preserve"> </v>
      </c>
      <c r="S27" s="10"/>
      <c r="T27" s="36" t="str">
        <f>IF($A27="S",(_xlfn.CONCAT(
REGISTRO_DETALHE!$I$4:$I$6,
TED!$B27,
REGISTRO_DETALHE!$I$8:$I$10,
TED!$O27:$R27,
TED!$L27,
REGISTRO_DETALHE!$I$14:$I$19,
TED!$N27,
REGISTRO_DETALHE!$I$21:$I$23,
TED!$N27,
REGISTRO_DETALHE!$I$25:$I$26,
TED!$M27,
REGISTRO_DETALHE!$I$28:$I$32))," ")</f>
        <v xml:space="preserve"> </v>
      </c>
      <c r="U27" s="10"/>
    </row>
    <row r="28" spans="1:21" s="16" customFormat="1" ht="21.95" customHeight="1" x14ac:dyDescent="0.25">
      <c r="A28" s="33" t="str">
        <f t="shared" si="8"/>
        <v>N</v>
      </c>
      <c r="B28" s="17" t="str">
        <f t="shared" si="13"/>
        <v/>
      </c>
      <c r="C28" s="53"/>
      <c r="D28" s="54"/>
      <c r="E28" s="55"/>
      <c r="F28" s="59"/>
      <c r="G28" s="57"/>
      <c r="H28" s="57"/>
      <c r="I28" s="59"/>
      <c r="J28" s="60"/>
      <c r="K28" s="10"/>
      <c r="L28" s="25" t="str">
        <f t="shared" si="12"/>
        <v xml:space="preserve">                              </v>
      </c>
      <c r="M28" s="27" t="str">
        <f t="shared" si="9"/>
        <v/>
      </c>
      <c r="N28" s="27" t="str">
        <f t="shared" si="10"/>
        <v>000000000000000</v>
      </c>
      <c r="O28" s="20" t="str">
        <f t="shared" si="4"/>
        <v>000</v>
      </c>
      <c r="P28" s="20" t="str">
        <f t="shared" si="5"/>
        <v>00000</v>
      </c>
      <c r="Q28" s="26" t="str">
        <f t="shared" si="6"/>
        <v xml:space="preserve"> 000000000000</v>
      </c>
      <c r="R28" s="20" t="str">
        <f t="shared" si="7"/>
        <v xml:space="preserve"> </v>
      </c>
      <c r="S28" s="10"/>
      <c r="T28" s="36" t="str">
        <f>IF($A28="S",(_xlfn.CONCAT(
REGISTRO_DETALHE!$I$4:$I$6,
TED!$B28,
REGISTRO_DETALHE!$I$8:$I$10,
TED!$O28:$R28,
TED!$L28,
REGISTRO_DETALHE!$I$14:$I$19,
TED!$N28,
REGISTRO_DETALHE!$I$21:$I$23,
TED!$N28,
REGISTRO_DETALHE!$I$25:$I$26,
TED!$M28,
REGISTRO_DETALHE!$I$28:$I$32))," ")</f>
        <v xml:space="preserve"> </v>
      </c>
      <c r="U28" s="10"/>
    </row>
    <row r="29" spans="1:21" s="16" customFormat="1" ht="21.95" customHeight="1" x14ac:dyDescent="0.25">
      <c r="A29" s="33" t="str">
        <f t="shared" si="8"/>
        <v>N</v>
      </c>
      <c r="B29" s="17" t="str">
        <f t="shared" si="13"/>
        <v/>
      </c>
      <c r="C29" s="53"/>
      <c r="D29" s="54"/>
      <c r="E29" s="55"/>
      <c r="F29" s="56"/>
      <c r="G29" s="57"/>
      <c r="H29" s="57"/>
      <c r="I29" s="59"/>
      <c r="J29" s="60"/>
      <c r="K29" s="10"/>
      <c r="L29" s="25" t="str">
        <f t="shared" si="12"/>
        <v xml:space="preserve">                              </v>
      </c>
      <c r="M29" s="27" t="str">
        <f t="shared" si="9"/>
        <v/>
      </c>
      <c r="N29" s="27" t="str">
        <f t="shared" si="10"/>
        <v>000000000000000</v>
      </c>
      <c r="O29" s="20" t="str">
        <f t="shared" si="4"/>
        <v>000</v>
      </c>
      <c r="P29" s="20" t="str">
        <f t="shared" si="5"/>
        <v>00000</v>
      </c>
      <c r="Q29" s="26" t="str">
        <f t="shared" si="6"/>
        <v xml:space="preserve"> 000000000000</v>
      </c>
      <c r="R29" s="20" t="str">
        <f t="shared" si="7"/>
        <v xml:space="preserve"> </v>
      </c>
      <c r="S29" s="10"/>
      <c r="T29" s="36" t="str">
        <f>IF($A29="S",(_xlfn.CONCAT(
REGISTRO_DETALHE!$I$4:$I$6,
TED!$B29,
REGISTRO_DETALHE!$I$8:$I$10,
TED!$O29:$R29,
TED!$L29,
REGISTRO_DETALHE!$I$14:$I$19,
TED!$N29,
REGISTRO_DETALHE!$I$21:$I$23,
TED!$N29,
REGISTRO_DETALHE!$I$25:$I$26,
TED!$M29,
REGISTRO_DETALHE!$I$28:$I$32))," ")</f>
        <v xml:space="preserve"> </v>
      </c>
      <c r="U29" s="10"/>
    </row>
    <row r="30" spans="1:21" s="16" customFormat="1" ht="21.95" customHeight="1" x14ac:dyDescent="0.25">
      <c r="A30" s="33" t="str">
        <f t="shared" si="8"/>
        <v>N</v>
      </c>
      <c r="B30" s="17" t="str">
        <f t="shared" si="13"/>
        <v/>
      </c>
      <c r="C30" s="53"/>
      <c r="D30" s="54"/>
      <c r="E30" s="55"/>
      <c r="F30" s="59"/>
      <c r="G30" s="57"/>
      <c r="H30" s="57"/>
      <c r="I30" s="59"/>
      <c r="J30" s="60"/>
      <c r="K30" s="10"/>
      <c r="L30" s="25" t="str">
        <f t="shared" si="12"/>
        <v xml:space="preserve">                              </v>
      </c>
      <c r="M30" s="27" t="str">
        <f t="shared" si="9"/>
        <v/>
      </c>
      <c r="N30" s="27" t="str">
        <f t="shared" si="10"/>
        <v>000000000000000</v>
      </c>
      <c r="O30" s="20" t="str">
        <f t="shared" si="4"/>
        <v>000</v>
      </c>
      <c r="P30" s="20" t="str">
        <f t="shared" si="5"/>
        <v>00000</v>
      </c>
      <c r="Q30" s="26" t="str">
        <f t="shared" si="6"/>
        <v xml:space="preserve"> 000000000000</v>
      </c>
      <c r="R30" s="20" t="str">
        <f t="shared" si="7"/>
        <v xml:space="preserve"> </v>
      </c>
      <c r="S30" s="10"/>
      <c r="T30" s="36" t="str">
        <f>IF($A30="S",(_xlfn.CONCAT(
REGISTRO_DETALHE!$I$4:$I$6,
TED!$B30,
REGISTRO_DETALHE!$I$8:$I$10,
TED!$O30:$R30,
TED!$L30,
REGISTRO_DETALHE!$I$14:$I$19,
TED!$N30,
REGISTRO_DETALHE!$I$21:$I$23,
TED!$N30,
REGISTRO_DETALHE!$I$25:$I$26,
TED!$M30,
REGISTRO_DETALHE!$I$28:$I$32))," ")</f>
        <v xml:space="preserve"> </v>
      </c>
      <c r="U30" s="10"/>
    </row>
    <row r="31" spans="1:21" s="16" customFormat="1" ht="21.95" customHeight="1" x14ac:dyDescent="0.25">
      <c r="A31" s="33" t="str">
        <f t="shared" si="8"/>
        <v>N</v>
      </c>
      <c r="B31" s="17" t="str">
        <f t="shared" si="13"/>
        <v/>
      </c>
      <c r="C31" s="53"/>
      <c r="D31" s="54"/>
      <c r="E31" s="55"/>
      <c r="F31" s="56"/>
      <c r="G31" s="57"/>
      <c r="H31" s="57"/>
      <c r="I31" s="59"/>
      <c r="J31" s="60"/>
      <c r="K31" s="10"/>
      <c r="L31" s="25" t="str">
        <f t="shared" si="12"/>
        <v xml:space="preserve">                              </v>
      </c>
      <c r="M31" s="27" t="str">
        <f t="shared" si="9"/>
        <v/>
      </c>
      <c r="N31" s="27" t="str">
        <f t="shared" si="10"/>
        <v>000000000000000</v>
      </c>
      <c r="O31" s="20" t="str">
        <f t="shared" si="4"/>
        <v>000</v>
      </c>
      <c r="P31" s="20" t="str">
        <f t="shared" si="5"/>
        <v>00000</v>
      </c>
      <c r="Q31" s="26" t="str">
        <f t="shared" si="6"/>
        <v xml:space="preserve"> 000000000000</v>
      </c>
      <c r="R31" s="20" t="str">
        <f t="shared" si="7"/>
        <v xml:space="preserve"> </v>
      </c>
      <c r="S31" s="10"/>
      <c r="T31" s="36" t="str">
        <f>IF($A31="S",(_xlfn.CONCAT(
REGISTRO_DETALHE!$I$4:$I$6,
TED!$B31,
REGISTRO_DETALHE!$I$8:$I$10,
TED!$O31:$R31,
TED!$L31,
REGISTRO_DETALHE!$I$14:$I$19,
TED!$N31,
REGISTRO_DETALHE!$I$21:$I$23,
TED!$N31,
REGISTRO_DETALHE!$I$25:$I$26,
TED!$M31,
REGISTRO_DETALHE!$I$28:$I$32))," ")</f>
        <v xml:space="preserve"> </v>
      </c>
      <c r="U31" s="10"/>
    </row>
    <row r="32" spans="1:21" s="16" customFormat="1" ht="21.95" customHeight="1" x14ac:dyDescent="0.25">
      <c r="A32" s="33" t="str">
        <f t="shared" si="8"/>
        <v>N</v>
      </c>
      <c r="B32" s="17" t="str">
        <f t="shared" si="13"/>
        <v/>
      </c>
      <c r="C32" s="53"/>
      <c r="D32" s="54"/>
      <c r="E32" s="55"/>
      <c r="F32" s="56"/>
      <c r="G32" s="57"/>
      <c r="H32" s="57"/>
      <c r="I32" s="59"/>
      <c r="J32" s="60"/>
      <c r="K32" s="10"/>
      <c r="L32" s="25" t="str">
        <f t="shared" si="12"/>
        <v xml:space="preserve">                              </v>
      </c>
      <c r="M32" s="27" t="str">
        <f t="shared" si="9"/>
        <v/>
      </c>
      <c r="N32" s="27" t="str">
        <f t="shared" si="10"/>
        <v>000000000000000</v>
      </c>
      <c r="O32" s="20" t="str">
        <f t="shared" si="4"/>
        <v>000</v>
      </c>
      <c r="P32" s="20" t="str">
        <f t="shared" si="5"/>
        <v>00000</v>
      </c>
      <c r="Q32" s="26" t="str">
        <f t="shared" si="6"/>
        <v xml:space="preserve"> 000000000000</v>
      </c>
      <c r="R32" s="20" t="str">
        <f t="shared" si="7"/>
        <v xml:space="preserve"> </v>
      </c>
      <c r="S32" s="10"/>
      <c r="T32" s="36" t="str">
        <f>IF($A32="S",(_xlfn.CONCAT(
REGISTRO_DETALHE!$I$4:$I$6,
TED!$B32,
REGISTRO_DETALHE!$I$8:$I$10,
TED!$O32:$R32,
TED!$L32,
REGISTRO_DETALHE!$I$14:$I$19,
TED!$N32,
REGISTRO_DETALHE!$I$21:$I$23,
TED!$N32,
REGISTRO_DETALHE!$I$25:$I$26,
TED!$M32,
REGISTRO_DETALHE!$I$28:$I$32))," ")</f>
        <v xml:space="preserve"> </v>
      </c>
      <c r="U32" s="10"/>
    </row>
    <row r="33" spans="1:21" s="16" customFormat="1" ht="21.95" customHeight="1" x14ac:dyDescent="0.25">
      <c r="A33" s="33" t="str">
        <f t="shared" si="8"/>
        <v>N</v>
      </c>
      <c r="B33" s="17" t="str">
        <f t="shared" si="13"/>
        <v/>
      </c>
      <c r="C33" s="53"/>
      <c r="D33" s="54"/>
      <c r="E33" s="55"/>
      <c r="F33" s="56"/>
      <c r="G33" s="57"/>
      <c r="H33" s="58"/>
      <c r="I33" s="59"/>
      <c r="J33" s="60"/>
      <c r="K33" s="10"/>
      <c r="L33" s="25" t="str">
        <f t="shared" si="12"/>
        <v xml:space="preserve">                              </v>
      </c>
      <c r="M33" s="27" t="str">
        <f t="shared" si="9"/>
        <v/>
      </c>
      <c r="N33" s="27" t="str">
        <f t="shared" si="10"/>
        <v>000000000000000</v>
      </c>
      <c r="O33" s="20" t="str">
        <f t="shared" si="4"/>
        <v>000</v>
      </c>
      <c r="P33" s="20" t="str">
        <f t="shared" si="5"/>
        <v>00000</v>
      </c>
      <c r="Q33" s="26" t="str">
        <f t="shared" si="6"/>
        <v xml:space="preserve"> 000000000000</v>
      </c>
      <c r="R33" s="20" t="str">
        <f t="shared" si="7"/>
        <v xml:space="preserve"> </v>
      </c>
      <c r="S33" s="10"/>
      <c r="T33" s="36" t="str">
        <f>IF($A33="S",(_xlfn.CONCAT(
REGISTRO_DETALHE!$I$4:$I$6,
TED!$B33,
REGISTRO_DETALHE!$I$8:$I$10,
TED!$O33:$R33,
TED!$L33,
REGISTRO_DETALHE!$I$14:$I$19,
TED!$N33,
REGISTRO_DETALHE!$I$21:$I$23,
TED!$N33,
REGISTRO_DETALHE!$I$25:$I$26,
TED!$M33,
REGISTRO_DETALHE!$I$28:$I$32))," ")</f>
        <v xml:space="preserve"> </v>
      </c>
      <c r="U33" s="10"/>
    </row>
    <row r="34" spans="1:21" s="16" customFormat="1" ht="21.95" customHeight="1" x14ac:dyDescent="0.25">
      <c r="A34" s="33" t="str">
        <f t="shared" si="8"/>
        <v>N</v>
      </c>
      <c r="B34" s="17" t="str">
        <f t="shared" si="13"/>
        <v/>
      </c>
      <c r="C34" s="53"/>
      <c r="D34" s="54"/>
      <c r="E34" s="55"/>
      <c r="F34" s="56"/>
      <c r="G34" s="57"/>
      <c r="H34" s="58"/>
      <c r="I34" s="61"/>
      <c r="J34" s="60"/>
      <c r="K34" s="10"/>
      <c r="L34" s="25" t="str">
        <f t="shared" si="12"/>
        <v xml:space="preserve">                              </v>
      </c>
      <c r="M34" s="27" t="str">
        <f t="shared" si="9"/>
        <v/>
      </c>
      <c r="N34" s="27" t="str">
        <f t="shared" si="10"/>
        <v>000000000000000</v>
      </c>
      <c r="O34" s="20" t="str">
        <f t="shared" si="4"/>
        <v>000</v>
      </c>
      <c r="P34" s="20" t="str">
        <f t="shared" si="5"/>
        <v>00000</v>
      </c>
      <c r="Q34" s="26" t="str">
        <f t="shared" si="6"/>
        <v xml:space="preserve"> 000000000000</v>
      </c>
      <c r="R34" s="20" t="str">
        <f t="shared" si="7"/>
        <v xml:space="preserve"> </v>
      </c>
      <c r="S34" s="10"/>
      <c r="T34" s="36" t="str">
        <f>IF($A34="S",(_xlfn.CONCAT(
REGISTRO_DETALHE!$I$4:$I$6,
TED!$B34,
REGISTRO_DETALHE!$I$8:$I$10,
TED!$O34:$R34,
TED!$L34,
REGISTRO_DETALHE!$I$14:$I$19,
TED!$N34,
REGISTRO_DETALHE!$I$21:$I$23,
TED!$N34,
REGISTRO_DETALHE!$I$25:$I$26,
TED!$M34,
REGISTRO_DETALHE!$I$28:$I$32))," ")</f>
        <v xml:space="preserve"> </v>
      </c>
      <c r="U34" s="10"/>
    </row>
    <row r="35" spans="1:21" s="16" customFormat="1" ht="21.95" customHeight="1" x14ac:dyDescent="0.25">
      <c r="A35" s="33" t="str">
        <f t="shared" si="8"/>
        <v>N</v>
      </c>
      <c r="B35" s="17" t="str">
        <f t="shared" si="13"/>
        <v/>
      </c>
      <c r="C35" s="53"/>
      <c r="D35" s="54"/>
      <c r="E35" s="55"/>
      <c r="F35" s="56"/>
      <c r="G35" s="57"/>
      <c r="H35" s="57"/>
      <c r="I35" s="59"/>
      <c r="J35" s="60"/>
      <c r="K35" s="10"/>
      <c r="L35" s="25" t="str">
        <f t="shared" si="12"/>
        <v xml:space="preserve">                              </v>
      </c>
      <c r="M35" s="27" t="str">
        <f t="shared" si="9"/>
        <v/>
      </c>
      <c r="N35" s="27" t="str">
        <f t="shared" si="10"/>
        <v>000000000000000</v>
      </c>
      <c r="O35" s="20" t="str">
        <f t="shared" si="4"/>
        <v>000</v>
      </c>
      <c r="P35" s="20" t="str">
        <f t="shared" si="5"/>
        <v>00000</v>
      </c>
      <c r="Q35" s="26" t="str">
        <f t="shared" si="6"/>
        <v xml:space="preserve"> 000000000000</v>
      </c>
      <c r="R35" s="20" t="str">
        <f t="shared" si="7"/>
        <v xml:space="preserve"> </v>
      </c>
      <c r="S35" s="10"/>
      <c r="T35" s="36" t="str">
        <f>IF($A35="S",(_xlfn.CONCAT(
REGISTRO_DETALHE!$I$4:$I$6,
TED!$B35,
REGISTRO_DETALHE!$I$8:$I$10,
TED!$O35:$R35,
TED!$L35,
REGISTRO_DETALHE!$I$14:$I$19,
TED!$N35,
REGISTRO_DETALHE!$I$21:$I$23,
TED!$N35,
REGISTRO_DETALHE!$I$25:$I$26,
TED!$M35,
REGISTRO_DETALHE!$I$28:$I$32))," ")</f>
        <v xml:space="preserve"> </v>
      </c>
      <c r="U35" s="10"/>
    </row>
    <row r="36" spans="1:21" s="16" customFormat="1" ht="21.95" customHeight="1" x14ac:dyDescent="0.25">
      <c r="A36" s="33" t="str">
        <f t="shared" si="8"/>
        <v>N</v>
      </c>
      <c r="B36" s="17" t="str">
        <f t="shared" si="13"/>
        <v/>
      </c>
      <c r="C36" s="53"/>
      <c r="D36" s="54"/>
      <c r="E36" s="55"/>
      <c r="F36" s="56"/>
      <c r="G36" s="57"/>
      <c r="H36" s="57"/>
      <c r="I36" s="59"/>
      <c r="J36" s="60"/>
      <c r="K36" s="10"/>
      <c r="L36" s="25" t="str">
        <f t="shared" si="12"/>
        <v xml:space="preserve">                              </v>
      </c>
      <c r="M36" s="27" t="str">
        <f t="shared" si="9"/>
        <v/>
      </c>
      <c r="N36" s="27" t="str">
        <f t="shared" si="10"/>
        <v>000000000000000</v>
      </c>
      <c r="O36" s="20" t="str">
        <f t="shared" si="4"/>
        <v>000</v>
      </c>
      <c r="P36" s="20" t="str">
        <f t="shared" si="5"/>
        <v>00000</v>
      </c>
      <c r="Q36" s="26" t="str">
        <f t="shared" si="6"/>
        <v xml:space="preserve"> 000000000000</v>
      </c>
      <c r="R36" s="20" t="str">
        <f t="shared" si="7"/>
        <v xml:space="preserve"> </v>
      </c>
      <c r="S36" s="10"/>
      <c r="T36" s="36" t="str">
        <f>IF($A36="S",(_xlfn.CONCAT(
REGISTRO_DETALHE!$I$4:$I$6,
TED!$B36,
REGISTRO_DETALHE!$I$8:$I$10,
TED!$O36:$R36,
TED!$L36,
REGISTRO_DETALHE!$I$14:$I$19,
TED!$N36,
REGISTRO_DETALHE!$I$21:$I$23,
TED!$N36,
REGISTRO_DETALHE!$I$25:$I$26,
TED!$M36,
REGISTRO_DETALHE!$I$28:$I$32))," ")</f>
        <v xml:space="preserve"> </v>
      </c>
      <c r="U36" s="10"/>
    </row>
    <row r="37" spans="1:21" s="16" customFormat="1" ht="21.95" customHeight="1" x14ac:dyDescent="0.25">
      <c r="A37" s="33" t="str">
        <f t="shared" si="8"/>
        <v>N</v>
      </c>
      <c r="B37" s="17" t="str">
        <f t="shared" si="13"/>
        <v/>
      </c>
      <c r="C37" s="53"/>
      <c r="D37" s="54"/>
      <c r="E37" s="55"/>
      <c r="F37" s="56"/>
      <c r="G37" s="57"/>
      <c r="H37" s="57"/>
      <c r="I37" s="59"/>
      <c r="J37" s="60"/>
      <c r="K37" s="10"/>
      <c r="L37" s="25" t="str">
        <f t="shared" si="12"/>
        <v xml:space="preserve">                              </v>
      </c>
      <c r="M37" s="27" t="str">
        <f t="shared" si="9"/>
        <v/>
      </c>
      <c r="N37" s="27" t="str">
        <f t="shared" si="10"/>
        <v>000000000000000</v>
      </c>
      <c r="O37" s="20" t="str">
        <f t="shared" si="4"/>
        <v>000</v>
      </c>
      <c r="P37" s="20" t="str">
        <f t="shared" si="5"/>
        <v>00000</v>
      </c>
      <c r="Q37" s="26" t="str">
        <f t="shared" si="6"/>
        <v xml:space="preserve"> 000000000000</v>
      </c>
      <c r="R37" s="20" t="str">
        <f t="shared" si="7"/>
        <v xml:space="preserve"> </v>
      </c>
      <c r="S37" s="10"/>
      <c r="T37" s="36" t="str">
        <f>IF($A37="S",(_xlfn.CONCAT(
REGISTRO_DETALHE!$I$4:$I$6,
TED!$B37,
REGISTRO_DETALHE!$I$8:$I$10,
TED!$O37:$R37,
TED!$L37,
REGISTRO_DETALHE!$I$14:$I$19,
TED!$N37,
REGISTRO_DETALHE!$I$21:$I$23,
TED!$N37,
REGISTRO_DETALHE!$I$25:$I$26,
TED!$M37,
REGISTRO_DETALHE!$I$28:$I$32))," ")</f>
        <v xml:space="preserve"> </v>
      </c>
      <c r="U37" s="10"/>
    </row>
    <row r="38" spans="1:21" s="16" customFormat="1" ht="21.95" customHeight="1" x14ac:dyDescent="0.25">
      <c r="A38" s="33" t="str">
        <f t="shared" si="8"/>
        <v>N</v>
      </c>
      <c r="B38" s="17" t="str">
        <f t="shared" si="13"/>
        <v/>
      </c>
      <c r="C38" s="53"/>
      <c r="D38" s="54"/>
      <c r="E38" s="55"/>
      <c r="F38" s="56"/>
      <c r="G38" s="57"/>
      <c r="H38" s="57"/>
      <c r="I38" s="59"/>
      <c r="J38" s="60"/>
      <c r="K38" s="10"/>
      <c r="L38" s="25" t="str">
        <f t="shared" si="12"/>
        <v xml:space="preserve">                              </v>
      </c>
      <c r="M38" s="27" t="str">
        <f t="shared" si="9"/>
        <v/>
      </c>
      <c r="N38" s="27" t="str">
        <f t="shared" si="10"/>
        <v>000000000000000</v>
      </c>
      <c r="O38" s="20" t="str">
        <f t="shared" si="4"/>
        <v>000</v>
      </c>
      <c r="P38" s="20" t="str">
        <f t="shared" si="5"/>
        <v>00000</v>
      </c>
      <c r="Q38" s="26" t="str">
        <f t="shared" si="6"/>
        <v xml:space="preserve"> 000000000000</v>
      </c>
      <c r="R38" s="20" t="str">
        <f t="shared" si="7"/>
        <v xml:space="preserve"> </v>
      </c>
      <c r="S38" s="10"/>
      <c r="T38" s="36" t="str">
        <f>IF($A38="S",(_xlfn.CONCAT(
REGISTRO_DETALHE!$I$4:$I$6,
TED!$B38,
REGISTRO_DETALHE!$I$8:$I$10,
TED!$O38:$R38,
TED!$L38,
REGISTRO_DETALHE!$I$14:$I$19,
TED!$N38,
REGISTRO_DETALHE!$I$21:$I$23,
TED!$N38,
REGISTRO_DETALHE!$I$25:$I$26,
TED!$M38,
REGISTRO_DETALHE!$I$28:$I$32))," ")</f>
        <v xml:space="preserve"> </v>
      </c>
      <c r="U38" s="10"/>
    </row>
    <row r="39" spans="1:21" s="16" customFormat="1" ht="21.95" customHeight="1" x14ac:dyDescent="0.25">
      <c r="A39" s="33" t="str">
        <f t="shared" si="8"/>
        <v>N</v>
      </c>
      <c r="B39" s="17" t="str">
        <f t="shared" si="13"/>
        <v/>
      </c>
      <c r="C39" s="53"/>
      <c r="D39" s="54"/>
      <c r="E39" s="55"/>
      <c r="F39" s="56"/>
      <c r="G39" s="57"/>
      <c r="H39" s="57"/>
      <c r="I39" s="59"/>
      <c r="J39" s="60"/>
      <c r="K39" s="10"/>
      <c r="L39" s="25" t="str">
        <f t="shared" si="12"/>
        <v xml:space="preserve">                              </v>
      </c>
      <c r="M39" s="27" t="str">
        <f t="shared" si="9"/>
        <v/>
      </c>
      <c r="N39" s="27" t="str">
        <f t="shared" si="10"/>
        <v>000000000000000</v>
      </c>
      <c r="O39" s="20" t="str">
        <f t="shared" si="4"/>
        <v>000</v>
      </c>
      <c r="P39" s="20" t="str">
        <f t="shared" si="5"/>
        <v>00000</v>
      </c>
      <c r="Q39" s="26" t="str">
        <f t="shared" si="6"/>
        <v xml:space="preserve"> 000000000000</v>
      </c>
      <c r="R39" s="20" t="str">
        <f t="shared" si="7"/>
        <v xml:space="preserve"> </v>
      </c>
      <c r="S39" s="10"/>
      <c r="T39" s="36" t="str">
        <f>IF($A39="S",(_xlfn.CONCAT(
REGISTRO_DETALHE!$I$4:$I$6,
TED!$B39,
REGISTRO_DETALHE!$I$8:$I$10,
TED!$O39:$R39,
TED!$L39,
REGISTRO_DETALHE!$I$14:$I$19,
TED!$N39,
REGISTRO_DETALHE!$I$21:$I$23,
TED!$N39,
REGISTRO_DETALHE!$I$25:$I$26,
TED!$M39,
REGISTRO_DETALHE!$I$28:$I$32))," ")</f>
        <v xml:space="preserve"> </v>
      </c>
      <c r="U39" s="10"/>
    </row>
    <row r="40" spans="1:21" s="16" customFormat="1" ht="21.95" customHeight="1" x14ac:dyDescent="0.25">
      <c r="A40" s="33" t="str">
        <f t="shared" si="8"/>
        <v>N</v>
      </c>
      <c r="B40" s="17" t="str">
        <f t="shared" si="13"/>
        <v/>
      </c>
      <c r="C40" s="53"/>
      <c r="D40" s="54"/>
      <c r="E40" s="55"/>
      <c r="F40" s="56"/>
      <c r="G40" s="57"/>
      <c r="H40" s="57"/>
      <c r="I40" s="59"/>
      <c r="J40" s="60"/>
      <c r="K40" s="10"/>
      <c r="L40" s="25" t="str">
        <f t="shared" si="12"/>
        <v xml:space="preserve">                              </v>
      </c>
      <c r="M40" s="27" t="str">
        <f t="shared" si="9"/>
        <v/>
      </c>
      <c r="N40" s="27" t="str">
        <f t="shared" si="10"/>
        <v>000000000000000</v>
      </c>
      <c r="O40" s="20" t="str">
        <f t="shared" si="4"/>
        <v>000</v>
      </c>
      <c r="P40" s="20" t="str">
        <f t="shared" si="5"/>
        <v>00000</v>
      </c>
      <c r="Q40" s="26" t="str">
        <f t="shared" si="6"/>
        <v xml:space="preserve"> 000000000000</v>
      </c>
      <c r="R40" s="20" t="str">
        <f t="shared" si="7"/>
        <v xml:space="preserve"> </v>
      </c>
      <c r="S40" s="10"/>
      <c r="T40" s="36" t="str">
        <f>IF($A40="S",(_xlfn.CONCAT(
REGISTRO_DETALHE!$I$4:$I$6,
TED!$B40,
REGISTRO_DETALHE!$I$8:$I$10,
TED!$O40:$R40,
TED!$L40,
REGISTRO_DETALHE!$I$14:$I$19,
TED!$N40,
REGISTRO_DETALHE!$I$21:$I$23,
TED!$N40,
REGISTRO_DETALHE!$I$25:$I$26,
TED!$M40,
REGISTRO_DETALHE!$I$28:$I$32))," ")</f>
        <v xml:space="preserve"> </v>
      </c>
      <c r="U40" s="10"/>
    </row>
    <row r="41" spans="1:21" s="16" customFormat="1" ht="21.95" customHeight="1" x14ac:dyDescent="0.25">
      <c r="A41" s="33" t="str">
        <f t="shared" si="8"/>
        <v>N</v>
      </c>
      <c r="B41" s="17" t="str">
        <f t="shared" ref="B41:B68" si="14">IF(C41="","",(TEXT((B40+1),"00000")))</f>
        <v/>
      </c>
      <c r="C41" s="53"/>
      <c r="D41" s="54"/>
      <c r="E41" s="55"/>
      <c r="F41" s="56"/>
      <c r="G41" s="57"/>
      <c r="H41" s="57"/>
      <c r="I41" s="59"/>
      <c r="J41" s="60"/>
      <c r="K41" s="10"/>
      <c r="L41" s="25" t="str">
        <f t="shared" si="12"/>
        <v xml:space="preserve">                              </v>
      </c>
      <c r="M41" s="27" t="str">
        <f t="shared" si="9"/>
        <v/>
      </c>
      <c r="N41" s="27" t="str">
        <f t="shared" si="10"/>
        <v>000000000000000</v>
      </c>
      <c r="O41" s="20" t="str">
        <f t="shared" si="4"/>
        <v>000</v>
      </c>
      <c r="P41" s="20" t="str">
        <f t="shared" si="5"/>
        <v>00000</v>
      </c>
      <c r="Q41" s="26" t="str">
        <f t="shared" si="6"/>
        <v xml:space="preserve"> 000000000000</v>
      </c>
      <c r="R41" s="20" t="str">
        <f t="shared" si="7"/>
        <v xml:space="preserve"> </v>
      </c>
      <c r="S41" s="10"/>
      <c r="T41" s="36" t="str">
        <f>IF($A41="S",(_xlfn.CONCAT(
REGISTRO_DETALHE!$I$4:$I$6,
TED!$B41,
REGISTRO_DETALHE!$I$8:$I$10,
TED!$O41:$R41,
TED!$L41,
REGISTRO_DETALHE!$I$14:$I$19,
TED!$N41,
REGISTRO_DETALHE!$I$21:$I$23,
TED!$N41,
REGISTRO_DETALHE!$I$25:$I$26,
TED!$M41,
REGISTRO_DETALHE!$I$28:$I$32))," ")</f>
        <v xml:space="preserve"> </v>
      </c>
      <c r="U41" s="10"/>
    </row>
    <row r="42" spans="1:21" s="16" customFormat="1" ht="21.95" customHeight="1" x14ac:dyDescent="0.25">
      <c r="A42" s="33" t="str">
        <f t="shared" si="8"/>
        <v>N</v>
      </c>
      <c r="B42" s="17" t="str">
        <f t="shared" si="14"/>
        <v/>
      </c>
      <c r="C42" s="53"/>
      <c r="D42" s="54"/>
      <c r="E42" s="55"/>
      <c r="F42" s="56"/>
      <c r="G42" s="57"/>
      <c r="H42" s="57"/>
      <c r="I42" s="59"/>
      <c r="J42" s="60"/>
      <c r="K42" s="10"/>
      <c r="L42" s="25" t="str">
        <f t="shared" si="12"/>
        <v xml:space="preserve">                              </v>
      </c>
      <c r="M42" s="27" t="str">
        <f t="shared" si="9"/>
        <v/>
      </c>
      <c r="N42" s="27" t="str">
        <f t="shared" si="10"/>
        <v>000000000000000</v>
      </c>
      <c r="O42" s="20" t="str">
        <f t="shared" si="4"/>
        <v>000</v>
      </c>
      <c r="P42" s="20" t="str">
        <f t="shared" si="5"/>
        <v>00000</v>
      </c>
      <c r="Q42" s="26" t="str">
        <f t="shared" si="6"/>
        <v xml:space="preserve"> 000000000000</v>
      </c>
      <c r="R42" s="20" t="str">
        <f t="shared" si="7"/>
        <v xml:space="preserve"> </v>
      </c>
      <c r="S42" s="10"/>
      <c r="T42" s="36" t="str">
        <f>IF($A42="S",(_xlfn.CONCAT(
REGISTRO_DETALHE!$I$4:$I$6,
TED!$B42,
REGISTRO_DETALHE!$I$8:$I$10,
TED!$O42:$R42,
TED!$L42,
REGISTRO_DETALHE!$I$14:$I$19,
TED!$N42,
REGISTRO_DETALHE!$I$21:$I$23,
TED!$N42,
REGISTRO_DETALHE!$I$25:$I$26,
TED!$M42,
REGISTRO_DETALHE!$I$28:$I$32))," ")</f>
        <v xml:space="preserve"> </v>
      </c>
      <c r="U42" s="10"/>
    </row>
    <row r="43" spans="1:21" s="16" customFormat="1" ht="21.95" customHeight="1" x14ac:dyDescent="0.25">
      <c r="A43" s="33" t="str">
        <f t="shared" si="8"/>
        <v>N</v>
      </c>
      <c r="B43" s="17" t="str">
        <f t="shared" si="14"/>
        <v/>
      </c>
      <c r="C43" s="53"/>
      <c r="D43" s="54"/>
      <c r="E43" s="55"/>
      <c r="F43" s="56"/>
      <c r="G43" s="57"/>
      <c r="H43" s="57"/>
      <c r="I43" s="59"/>
      <c r="J43" s="60"/>
      <c r="K43" s="10"/>
      <c r="L43" s="25" t="str">
        <f t="shared" si="12"/>
        <v xml:space="preserve">                              </v>
      </c>
      <c r="M43" s="27" t="str">
        <f t="shared" si="9"/>
        <v/>
      </c>
      <c r="N43" s="27" t="str">
        <f t="shared" si="10"/>
        <v>000000000000000</v>
      </c>
      <c r="O43" s="20" t="str">
        <f t="shared" si="4"/>
        <v>000</v>
      </c>
      <c r="P43" s="20" t="str">
        <f t="shared" si="5"/>
        <v>00000</v>
      </c>
      <c r="Q43" s="26" t="str">
        <f t="shared" si="6"/>
        <v xml:space="preserve"> 000000000000</v>
      </c>
      <c r="R43" s="20" t="str">
        <f t="shared" si="7"/>
        <v xml:space="preserve"> </v>
      </c>
      <c r="S43" s="10"/>
      <c r="T43" s="36" t="str">
        <f>IF($A43="S",(_xlfn.CONCAT(
REGISTRO_DETALHE!$I$4:$I$6,
TED!$B43,
REGISTRO_DETALHE!$I$8:$I$10,
TED!$O43:$R43,
TED!$L43,
REGISTRO_DETALHE!$I$14:$I$19,
TED!$N43,
REGISTRO_DETALHE!$I$21:$I$23,
TED!$N43,
REGISTRO_DETALHE!$I$25:$I$26,
TED!$M43,
REGISTRO_DETALHE!$I$28:$I$32))," ")</f>
        <v xml:space="preserve"> </v>
      </c>
      <c r="U43" s="10"/>
    </row>
    <row r="44" spans="1:21" s="16" customFormat="1" ht="21.95" customHeight="1" x14ac:dyDescent="0.25">
      <c r="A44" s="33" t="str">
        <f t="shared" si="8"/>
        <v>N</v>
      </c>
      <c r="B44" s="17" t="str">
        <f t="shared" si="14"/>
        <v/>
      </c>
      <c r="C44" s="53"/>
      <c r="D44" s="54"/>
      <c r="E44" s="55"/>
      <c r="F44" s="56"/>
      <c r="G44" s="57"/>
      <c r="H44" s="57"/>
      <c r="I44" s="59"/>
      <c r="J44" s="60"/>
      <c r="K44" s="10"/>
      <c r="L44" s="25" t="str">
        <f t="shared" si="12"/>
        <v xml:space="preserve">                              </v>
      </c>
      <c r="M44" s="27" t="str">
        <f t="shared" si="9"/>
        <v/>
      </c>
      <c r="N44" s="27" t="str">
        <f t="shared" si="10"/>
        <v>000000000000000</v>
      </c>
      <c r="O44" s="20" t="str">
        <f t="shared" si="4"/>
        <v>000</v>
      </c>
      <c r="P44" s="20" t="str">
        <f t="shared" si="5"/>
        <v>00000</v>
      </c>
      <c r="Q44" s="26" t="str">
        <f t="shared" si="6"/>
        <v xml:space="preserve"> 000000000000</v>
      </c>
      <c r="R44" s="20" t="str">
        <f t="shared" si="7"/>
        <v xml:space="preserve"> </v>
      </c>
      <c r="S44" s="10"/>
      <c r="T44" s="36" t="str">
        <f>IF($A44="S",(_xlfn.CONCAT(
REGISTRO_DETALHE!$I$4:$I$6,
TED!$B44,
REGISTRO_DETALHE!$I$8:$I$10,
TED!$O44:$R44,
TED!$L44,
REGISTRO_DETALHE!$I$14:$I$19,
TED!$N44,
REGISTRO_DETALHE!$I$21:$I$23,
TED!$N44,
REGISTRO_DETALHE!$I$25:$I$26,
TED!$M44,
REGISTRO_DETALHE!$I$28:$I$32))," ")</f>
        <v xml:space="preserve"> </v>
      </c>
      <c r="U44" s="10"/>
    </row>
    <row r="45" spans="1:21" s="16" customFormat="1" ht="21.95" customHeight="1" x14ac:dyDescent="0.25">
      <c r="A45" s="33" t="str">
        <f t="shared" si="8"/>
        <v>N</v>
      </c>
      <c r="B45" s="17" t="str">
        <f t="shared" si="14"/>
        <v/>
      </c>
      <c r="C45" s="53"/>
      <c r="D45" s="54"/>
      <c r="E45" s="55"/>
      <c r="F45" s="56"/>
      <c r="G45" s="57"/>
      <c r="H45" s="57"/>
      <c r="I45" s="59"/>
      <c r="J45" s="60"/>
      <c r="K45" s="10"/>
      <c r="L45" s="25" t="str">
        <f t="shared" si="12"/>
        <v xml:space="preserve">                              </v>
      </c>
      <c r="M45" s="27" t="str">
        <f t="shared" si="9"/>
        <v/>
      </c>
      <c r="N45" s="27" t="str">
        <f t="shared" si="10"/>
        <v>000000000000000</v>
      </c>
      <c r="O45" s="20" t="str">
        <f t="shared" si="4"/>
        <v>000</v>
      </c>
      <c r="P45" s="20" t="str">
        <f t="shared" si="5"/>
        <v>00000</v>
      </c>
      <c r="Q45" s="26" t="str">
        <f t="shared" si="6"/>
        <v xml:space="preserve"> 000000000000</v>
      </c>
      <c r="R45" s="20" t="str">
        <f t="shared" si="7"/>
        <v xml:space="preserve"> </v>
      </c>
      <c r="S45" s="10"/>
      <c r="T45" s="36" t="str">
        <f>IF($A45="S",(_xlfn.CONCAT(
REGISTRO_DETALHE!$I$4:$I$6,
TED!$B45,
REGISTRO_DETALHE!$I$8:$I$10,
TED!$O45:$R45,
TED!$L45,
REGISTRO_DETALHE!$I$14:$I$19,
TED!$N45,
REGISTRO_DETALHE!$I$21:$I$23,
TED!$N45,
REGISTRO_DETALHE!$I$25:$I$26,
TED!$M45,
REGISTRO_DETALHE!$I$28:$I$32))," ")</f>
        <v xml:space="preserve"> </v>
      </c>
      <c r="U45" s="10"/>
    </row>
    <row r="46" spans="1:21" s="16" customFormat="1" ht="21.95" customHeight="1" x14ac:dyDescent="0.25">
      <c r="A46" s="33" t="str">
        <f t="shared" si="8"/>
        <v>N</v>
      </c>
      <c r="B46" s="17" t="str">
        <f t="shared" si="14"/>
        <v/>
      </c>
      <c r="C46" s="53"/>
      <c r="D46" s="54"/>
      <c r="E46" s="55"/>
      <c r="F46" s="56"/>
      <c r="G46" s="57"/>
      <c r="H46" s="57"/>
      <c r="I46" s="59"/>
      <c r="J46" s="60"/>
      <c r="K46" s="10"/>
      <c r="L46" s="25" t="str">
        <f t="shared" si="12"/>
        <v xml:space="preserve">                              </v>
      </c>
      <c r="M46" s="27" t="str">
        <f t="shared" si="9"/>
        <v/>
      </c>
      <c r="N46" s="27" t="str">
        <f t="shared" si="10"/>
        <v>000000000000000</v>
      </c>
      <c r="O46" s="20" t="str">
        <f t="shared" si="4"/>
        <v>000</v>
      </c>
      <c r="P46" s="20" t="str">
        <f t="shared" si="5"/>
        <v>00000</v>
      </c>
      <c r="Q46" s="26" t="str">
        <f t="shared" si="6"/>
        <v xml:space="preserve"> 000000000000</v>
      </c>
      <c r="R46" s="20" t="str">
        <f t="shared" si="7"/>
        <v xml:space="preserve"> </v>
      </c>
      <c r="S46" s="10"/>
      <c r="T46" s="36" t="str">
        <f>IF($A46="S",(_xlfn.CONCAT(
REGISTRO_DETALHE!$I$4:$I$6,
TED!$B46,
REGISTRO_DETALHE!$I$8:$I$10,
TED!$O46:$R46,
TED!$L46,
REGISTRO_DETALHE!$I$14:$I$19,
TED!$N46,
REGISTRO_DETALHE!$I$21:$I$23,
TED!$N46,
REGISTRO_DETALHE!$I$25:$I$26,
TED!$M46,
REGISTRO_DETALHE!$I$28:$I$32))," ")</f>
        <v xml:space="preserve"> </v>
      </c>
      <c r="U46" s="10"/>
    </row>
    <row r="47" spans="1:21" s="16" customFormat="1" ht="21.95" customHeight="1" x14ac:dyDescent="0.25">
      <c r="A47" s="33" t="str">
        <f t="shared" si="8"/>
        <v>N</v>
      </c>
      <c r="B47" s="17" t="str">
        <f t="shared" si="14"/>
        <v/>
      </c>
      <c r="C47" s="53"/>
      <c r="D47" s="54"/>
      <c r="E47" s="55"/>
      <c r="F47" s="56"/>
      <c r="G47" s="57"/>
      <c r="H47" s="57"/>
      <c r="I47" s="59"/>
      <c r="J47" s="60"/>
      <c r="K47" s="10"/>
      <c r="L47" s="25" t="str">
        <f t="shared" si="12"/>
        <v xml:space="preserve">                              </v>
      </c>
      <c r="M47" s="27" t="str">
        <f t="shared" si="9"/>
        <v/>
      </c>
      <c r="N47" s="27" t="str">
        <f t="shared" si="10"/>
        <v>000000000000000</v>
      </c>
      <c r="O47" s="20" t="str">
        <f t="shared" si="4"/>
        <v>000</v>
      </c>
      <c r="P47" s="20" t="str">
        <f t="shared" si="5"/>
        <v>00000</v>
      </c>
      <c r="Q47" s="26" t="str">
        <f t="shared" si="6"/>
        <v xml:space="preserve"> 000000000000</v>
      </c>
      <c r="R47" s="20" t="str">
        <f t="shared" si="7"/>
        <v xml:space="preserve"> </v>
      </c>
      <c r="S47" s="10"/>
      <c r="T47" s="36" t="str">
        <f>IF($A47="S",(_xlfn.CONCAT(
REGISTRO_DETALHE!$I$4:$I$6,
TED!$B47,
REGISTRO_DETALHE!$I$8:$I$10,
TED!$O47:$R47,
TED!$L47,
REGISTRO_DETALHE!$I$14:$I$19,
TED!$N47,
REGISTRO_DETALHE!$I$21:$I$23,
TED!$N47,
REGISTRO_DETALHE!$I$25:$I$26,
TED!$M47,
REGISTRO_DETALHE!$I$28:$I$32))," ")</f>
        <v xml:space="preserve"> </v>
      </c>
      <c r="U47" s="10"/>
    </row>
    <row r="48" spans="1:21" s="16" customFormat="1" ht="21.95" customHeight="1" x14ac:dyDescent="0.25">
      <c r="A48" s="33" t="str">
        <f t="shared" si="8"/>
        <v>N</v>
      </c>
      <c r="B48" s="17" t="str">
        <f t="shared" si="14"/>
        <v/>
      </c>
      <c r="C48" s="53"/>
      <c r="D48" s="54"/>
      <c r="E48" s="55"/>
      <c r="F48" s="56"/>
      <c r="G48" s="57"/>
      <c r="H48" s="57"/>
      <c r="I48" s="59"/>
      <c r="J48" s="60"/>
      <c r="K48" s="10"/>
      <c r="L48" s="25" t="str">
        <f t="shared" si="12"/>
        <v xml:space="preserve">                              </v>
      </c>
      <c r="M48" s="27" t="str">
        <f t="shared" si="9"/>
        <v/>
      </c>
      <c r="N48" s="27" t="str">
        <f t="shared" si="10"/>
        <v>000000000000000</v>
      </c>
      <c r="O48" s="20" t="str">
        <f t="shared" si="4"/>
        <v>000</v>
      </c>
      <c r="P48" s="20" t="str">
        <f t="shared" si="5"/>
        <v>00000</v>
      </c>
      <c r="Q48" s="26" t="str">
        <f t="shared" si="6"/>
        <v xml:space="preserve"> 000000000000</v>
      </c>
      <c r="R48" s="20" t="str">
        <f t="shared" si="7"/>
        <v xml:space="preserve"> </v>
      </c>
      <c r="S48" s="10"/>
      <c r="T48" s="36" t="str">
        <f>IF($A48="S",(_xlfn.CONCAT(
REGISTRO_DETALHE!$I$4:$I$6,
TED!$B48,
REGISTRO_DETALHE!$I$8:$I$10,
TED!$O48:$R48,
TED!$L48,
REGISTRO_DETALHE!$I$14:$I$19,
TED!$N48,
REGISTRO_DETALHE!$I$21:$I$23,
TED!$N48,
REGISTRO_DETALHE!$I$25:$I$26,
TED!$M48,
REGISTRO_DETALHE!$I$28:$I$32))," ")</f>
        <v xml:space="preserve"> </v>
      </c>
      <c r="U48" s="10"/>
    </row>
    <row r="49" spans="1:21" s="16" customFormat="1" ht="21.95" customHeight="1" x14ac:dyDescent="0.25">
      <c r="A49" s="33" t="str">
        <f t="shared" si="8"/>
        <v>N</v>
      </c>
      <c r="B49" s="17" t="str">
        <f t="shared" si="14"/>
        <v/>
      </c>
      <c r="C49" s="53"/>
      <c r="D49" s="54"/>
      <c r="E49" s="55"/>
      <c r="F49" s="56"/>
      <c r="G49" s="57"/>
      <c r="H49" s="57"/>
      <c r="I49" s="59"/>
      <c r="J49" s="60"/>
      <c r="K49" s="10"/>
      <c r="L49" s="25" t="str">
        <f t="shared" si="12"/>
        <v xml:space="preserve">                              </v>
      </c>
      <c r="M49" s="27" t="str">
        <f t="shared" si="9"/>
        <v/>
      </c>
      <c r="N49" s="27" t="str">
        <f t="shared" si="10"/>
        <v>000000000000000</v>
      </c>
      <c r="O49" s="20" t="str">
        <f t="shared" si="4"/>
        <v>000</v>
      </c>
      <c r="P49" s="20" t="str">
        <f t="shared" si="5"/>
        <v>00000</v>
      </c>
      <c r="Q49" s="26" t="str">
        <f t="shared" si="6"/>
        <v xml:space="preserve"> 000000000000</v>
      </c>
      <c r="R49" s="20" t="str">
        <f t="shared" si="7"/>
        <v xml:space="preserve"> </v>
      </c>
      <c r="S49" s="10"/>
      <c r="T49" s="36" t="str">
        <f>IF($A49="S",(_xlfn.CONCAT(
REGISTRO_DETALHE!$I$4:$I$6,
TED!$B49,
REGISTRO_DETALHE!$I$8:$I$10,
TED!$O49:$R49,
TED!$L49,
REGISTRO_DETALHE!$I$14:$I$19,
TED!$N49,
REGISTRO_DETALHE!$I$21:$I$23,
TED!$N49,
REGISTRO_DETALHE!$I$25:$I$26,
TED!$M49,
REGISTRO_DETALHE!$I$28:$I$32))," ")</f>
        <v xml:space="preserve"> </v>
      </c>
      <c r="U49" s="10"/>
    </row>
    <row r="50" spans="1:21" s="16" customFormat="1" ht="21.95" customHeight="1" x14ac:dyDescent="0.25">
      <c r="A50" s="33" t="str">
        <f t="shared" si="8"/>
        <v>N</v>
      </c>
      <c r="B50" s="17" t="str">
        <f t="shared" si="14"/>
        <v/>
      </c>
      <c r="C50" s="53"/>
      <c r="D50" s="54"/>
      <c r="E50" s="55"/>
      <c r="F50" s="56"/>
      <c r="G50" s="57"/>
      <c r="H50" s="57"/>
      <c r="I50" s="59"/>
      <c r="J50" s="60"/>
      <c r="K50" s="10"/>
      <c r="L50" s="25" t="str">
        <f t="shared" si="12"/>
        <v xml:space="preserve">                              </v>
      </c>
      <c r="M50" s="27" t="str">
        <f t="shared" si="9"/>
        <v/>
      </c>
      <c r="N50" s="27" t="str">
        <f t="shared" si="10"/>
        <v>000000000000000</v>
      </c>
      <c r="O50" s="20" t="str">
        <f t="shared" si="4"/>
        <v>000</v>
      </c>
      <c r="P50" s="20" t="str">
        <f t="shared" si="5"/>
        <v>00000</v>
      </c>
      <c r="Q50" s="26" t="str">
        <f t="shared" si="6"/>
        <v xml:space="preserve"> 000000000000</v>
      </c>
      <c r="R50" s="20" t="str">
        <f t="shared" si="7"/>
        <v xml:space="preserve"> </v>
      </c>
      <c r="S50" s="10"/>
      <c r="T50" s="36" t="str">
        <f>IF($A50="S",(_xlfn.CONCAT(
REGISTRO_DETALHE!$I$4:$I$6,
TED!$B50,
REGISTRO_DETALHE!$I$8:$I$10,
TED!$O50:$R50,
TED!$L50,
REGISTRO_DETALHE!$I$14:$I$19,
TED!$N50,
REGISTRO_DETALHE!$I$21:$I$23,
TED!$N50,
REGISTRO_DETALHE!$I$25:$I$26,
TED!$M50,
REGISTRO_DETALHE!$I$28:$I$32))," ")</f>
        <v xml:space="preserve"> </v>
      </c>
      <c r="U50" s="10"/>
    </row>
    <row r="51" spans="1:21" s="16" customFormat="1" ht="21.95" customHeight="1" x14ac:dyDescent="0.25">
      <c r="A51" s="33" t="str">
        <f t="shared" si="8"/>
        <v>N</v>
      </c>
      <c r="B51" s="17" t="str">
        <f t="shared" si="14"/>
        <v/>
      </c>
      <c r="C51" s="53"/>
      <c r="D51" s="54"/>
      <c r="E51" s="55"/>
      <c r="F51" s="56"/>
      <c r="G51" s="57"/>
      <c r="H51" s="57"/>
      <c r="I51" s="59"/>
      <c r="J51" s="60"/>
      <c r="K51" s="10"/>
      <c r="L51" s="25" t="str">
        <f t="shared" si="12"/>
        <v xml:space="preserve">                              </v>
      </c>
      <c r="M51" s="27" t="str">
        <f t="shared" si="9"/>
        <v/>
      </c>
      <c r="N51" s="27" t="str">
        <f t="shared" si="10"/>
        <v>000000000000000</v>
      </c>
      <c r="O51" s="20" t="str">
        <f t="shared" si="4"/>
        <v>000</v>
      </c>
      <c r="P51" s="20" t="str">
        <f t="shared" si="5"/>
        <v>00000</v>
      </c>
      <c r="Q51" s="26" t="str">
        <f t="shared" si="6"/>
        <v xml:space="preserve"> 000000000000</v>
      </c>
      <c r="R51" s="20" t="str">
        <f t="shared" si="7"/>
        <v xml:space="preserve"> </v>
      </c>
      <c r="S51" s="10"/>
      <c r="T51" s="36" t="str">
        <f>IF($A51="S",(_xlfn.CONCAT(
REGISTRO_DETALHE!$I$4:$I$6,
TED!$B51,
REGISTRO_DETALHE!$I$8:$I$10,
TED!$O51:$R51,
TED!$L51,
REGISTRO_DETALHE!$I$14:$I$19,
TED!$N51,
REGISTRO_DETALHE!$I$21:$I$23,
TED!$N51,
REGISTRO_DETALHE!$I$25:$I$26,
TED!$M51,
REGISTRO_DETALHE!$I$28:$I$32))," ")</f>
        <v xml:space="preserve"> </v>
      </c>
      <c r="U51" s="10"/>
    </row>
    <row r="52" spans="1:21" s="16" customFormat="1" ht="21.95" customHeight="1" x14ac:dyDescent="0.25">
      <c r="A52" s="33" t="str">
        <f t="shared" si="8"/>
        <v>N</v>
      </c>
      <c r="B52" s="17" t="str">
        <f t="shared" si="14"/>
        <v/>
      </c>
      <c r="C52" s="53"/>
      <c r="D52" s="54"/>
      <c r="E52" s="55"/>
      <c r="F52" s="56"/>
      <c r="G52" s="57"/>
      <c r="H52" s="57"/>
      <c r="I52" s="59"/>
      <c r="J52" s="60"/>
      <c r="K52" s="10"/>
      <c r="L52" s="25" t="str">
        <f t="shared" si="12"/>
        <v xml:space="preserve">                              </v>
      </c>
      <c r="M52" s="27" t="str">
        <f t="shared" si="9"/>
        <v/>
      </c>
      <c r="N52" s="27" t="str">
        <f t="shared" si="10"/>
        <v>000000000000000</v>
      </c>
      <c r="O52" s="20" t="str">
        <f t="shared" si="4"/>
        <v>000</v>
      </c>
      <c r="P52" s="20" t="str">
        <f t="shared" si="5"/>
        <v>00000</v>
      </c>
      <c r="Q52" s="26" t="str">
        <f t="shared" si="6"/>
        <v xml:space="preserve"> 000000000000</v>
      </c>
      <c r="R52" s="20" t="str">
        <f t="shared" si="7"/>
        <v xml:space="preserve"> </v>
      </c>
      <c r="S52" s="10"/>
      <c r="T52" s="36" t="str">
        <f>IF($A52="S",(_xlfn.CONCAT(
REGISTRO_DETALHE!$I$4:$I$6,
TED!$B52,
REGISTRO_DETALHE!$I$8:$I$10,
TED!$O52:$R52,
TED!$L52,
REGISTRO_DETALHE!$I$14:$I$19,
TED!$N52,
REGISTRO_DETALHE!$I$21:$I$23,
TED!$N52,
REGISTRO_DETALHE!$I$25:$I$26,
TED!$M52,
REGISTRO_DETALHE!$I$28:$I$32))," ")</f>
        <v xml:space="preserve"> </v>
      </c>
      <c r="U52" s="10"/>
    </row>
    <row r="53" spans="1:21" s="16" customFormat="1" ht="21.95" customHeight="1" x14ac:dyDescent="0.25">
      <c r="A53" s="33" t="str">
        <f t="shared" si="8"/>
        <v>N</v>
      </c>
      <c r="B53" s="17" t="str">
        <f t="shared" si="14"/>
        <v/>
      </c>
      <c r="C53" s="53"/>
      <c r="D53" s="54"/>
      <c r="E53" s="55"/>
      <c r="F53" s="56"/>
      <c r="G53" s="57"/>
      <c r="H53" s="57"/>
      <c r="I53" s="59"/>
      <c r="J53" s="60"/>
      <c r="K53" s="10"/>
      <c r="L53" s="25" t="str">
        <f t="shared" si="12"/>
        <v xml:space="preserve">                              </v>
      </c>
      <c r="M53" s="27" t="str">
        <f t="shared" si="9"/>
        <v/>
      </c>
      <c r="N53" s="27" t="str">
        <f t="shared" si="10"/>
        <v>000000000000000</v>
      </c>
      <c r="O53" s="20" t="str">
        <f t="shared" si="4"/>
        <v>000</v>
      </c>
      <c r="P53" s="20" t="str">
        <f t="shared" si="5"/>
        <v>00000</v>
      </c>
      <c r="Q53" s="26" t="str">
        <f t="shared" si="6"/>
        <v xml:space="preserve"> 000000000000</v>
      </c>
      <c r="R53" s="20" t="str">
        <f t="shared" si="7"/>
        <v xml:space="preserve"> </v>
      </c>
      <c r="S53" s="10"/>
      <c r="T53" s="36" t="str">
        <f>IF($A53="S",(_xlfn.CONCAT(
REGISTRO_DETALHE!$I$4:$I$6,
TED!$B53,
REGISTRO_DETALHE!$I$8:$I$10,
TED!$O53:$R53,
TED!$L53,
REGISTRO_DETALHE!$I$14:$I$19,
TED!$N53,
REGISTRO_DETALHE!$I$21:$I$23,
TED!$N53,
REGISTRO_DETALHE!$I$25:$I$26,
TED!$M53,
REGISTRO_DETALHE!$I$28:$I$32))," ")</f>
        <v xml:space="preserve"> </v>
      </c>
      <c r="U53" s="10"/>
    </row>
    <row r="54" spans="1:21" s="16" customFormat="1" ht="21.95" customHeight="1" x14ac:dyDescent="0.25">
      <c r="A54" s="33" t="str">
        <f t="shared" si="8"/>
        <v>N</v>
      </c>
      <c r="B54" s="17" t="str">
        <f t="shared" si="14"/>
        <v/>
      </c>
      <c r="C54" s="53"/>
      <c r="D54" s="54"/>
      <c r="E54" s="55"/>
      <c r="F54" s="56"/>
      <c r="G54" s="57"/>
      <c r="H54" s="57"/>
      <c r="I54" s="59"/>
      <c r="J54" s="60"/>
      <c r="K54" s="10"/>
      <c r="L54" s="25" t="str">
        <f t="shared" si="12"/>
        <v xml:space="preserve">                              </v>
      </c>
      <c r="M54" s="27" t="str">
        <f t="shared" si="9"/>
        <v/>
      </c>
      <c r="N54" s="27" t="str">
        <f t="shared" si="10"/>
        <v>000000000000000</v>
      </c>
      <c r="O54" s="20" t="str">
        <f t="shared" si="4"/>
        <v>000</v>
      </c>
      <c r="P54" s="20" t="str">
        <f t="shared" si="5"/>
        <v>00000</v>
      </c>
      <c r="Q54" s="26" t="str">
        <f t="shared" si="6"/>
        <v xml:space="preserve"> 000000000000</v>
      </c>
      <c r="R54" s="20" t="str">
        <f t="shared" si="7"/>
        <v xml:space="preserve"> </v>
      </c>
      <c r="S54" s="10"/>
      <c r="T54" s="36" t="str">
        <f>IF($A54="S",(_xlfn.CONCAT(
REGISTRO_DETALHE!$I$4:$I$6,
TED!$B54,
REGISTRO_DETALHE!$I$8:$I$10,
TED!$O54:$R54,
TED!$L54,
REGISTRO_DETALHE!$I$14:$I$19,
TED!$N54,
REGISTRO_DETALHE!$I$21:$I$23,
TED!$N54,
REGISTRO_DETALHE!$I$25:$I$26,
TED!$M54,
REGISTRO_DETALHE!$I$28:$I$32))," ")</f>
        <v xml:space="preserve"> </v>
      </c>
      <c r="U54" s="10"/>
    </row>
    <row r="55" spans="1:21" s="16" customFormat="1" ht="21.95" customHeight="1" x14ac:dyDescent="0.25">
      <c r="A55" s="33" t="str">
        <f t="shared" si="8"/>
        <v>N</v>
      </c>
      <c r="B55" s="17" t="str">
        <f t="shared" si="14"/>
        <v/>
      </c>
      <c r="C55" s="53"/>
      <c r="D55" s="54"/>
      <c r="E55" s="55"/>
      <c r="F55" s="56"/>
      <c r="G55" s="57"/>
      <c r="H55" s="57"/>
      <c r="I55" s="59"/>
      <c r="J55" s="60"/>
      <c r="K55" s="10"/>
      <c r="L55" s="25" t="str">
        <f t="shared" si="12"/>
        <v xml:space="preserve">                              </v>
      </c>
      <c r="M55" s="27" t="str">
        <f t="shared" si="9"/>
        <v/>
      </c>
      <c r="N55" s="27" t="str">
        <f t="shared" si="10"/>
        <v>000000000000000</v>
      </c>
      <c r="O55" s="20" t="str">
        <f t="shared" si="4"/>
        <v>000</v>
      </c>
      <c r="P55" s="20" t="str">
        <f t="shared" si="5"/>
        <v>00000</v>
      </c>
      <c r="Q55" s="26" t="str">
        <f t="shared" si="6"/>
        <v xml:space="preserve"> 000000000000</v>
      </c>
      <c r="R55" s="20" t="str">
        <f t="shared" si="7"/>
        <v xml:space="preserve"> </v>
      </c>
      <c r="S55" s="10"/>
      <c r="T55" s="36" t="str">
        <f>IF($A55="S",(_xlfn.CONCAT(
REGISTRO_DETALHE!$I$4:$I$6,
TED!$B55,
REGISTRO_DETALHE!$I$8:$I$10,
TED!$O55:$R55,
TED!$L55,
REGISTRO_DETALHE!$I$14:$I$19,
TED!$N55,
REGISTRO_DETALHE!$I$21:$I$23,
TED!$N55,
REGISTRO_DETALHE!$I$25:$I$26,
TED!$M55,
REGISTRO_DETALHE!$I$28:$I$32))," ")</f>
        <v xml:space="preserve"> </v>
      </c>
      <c r="U55" s="10"/>
    </row>
    <row r="56" spans="1:21" s="16" customFormat="1" ht="21.95" customHeight="1" x14ac:dyDescent="0.25">
      <c r="A56" s="33" t="str">
        <f t="shared" si="8"/>
        <v>N</v>
      </c>
      <c r="B56" s="17" t="str">
        <f t="shared" si="14"/>
        <v/>
      </c>
      <c r="C56" s="53"/>
      <c r="D56" s="54"/>
      <c r="E56" s="55"/>
      <c r="F56" s="56"/>
      <c r="G56" s="57"/>
      <c r="H56" s="57"/>
      <c r="I56" s="59"/>
      <c r="J56" s="60"/>
      <c r="K56" s="10"/>
      <c r="L56" s="25" t="str">
        <f t="shared" si="12"/>
        <v xml:space="preserve">                              </v>
      </c>
      <c r="M56" s="27" t="str">
        <f t="shared" si="9"/>
        <v/>
      </c>
      <c r="N56" s="27" t="str">
        <f t="shared" si="10"/>
        <v>000000000000000</v>
      </c>
      <c r="O56" s="20" t="str">
        <f t="shared" si="4"/>
        <v>000</v>
      </c>
      <c r="P56" s="20" t="str">
        <f t="shared" si="5"/>
        <v>00000</v>
      </c>
      <c r="Q56" s="26" t="str">
        <f t="shared" si="6"/>
        <v xml:space="preserve"> 000000000000</v>
      </c>
      <c r="R56" s="20" t="str">
        <f t="shared" si="7"/>
        <v xml:space="preserve"> </v>
      </c>
      <c r="S56" s="10"/>
      <c r="T56" s="36" t="str">
        <f>IF($A56="S",(_xlfn.CONCAT(
REGISTRO_DETALHE!$I$4:$I$6,
TED!$B56,
REGISTRO_DETALHE!$I$8:$I$10,
TED!$O56:$R56,
TED!$L56,
REGISTRO_DETALHE!$I$14:$I$19,
TED!$N56,
REGISTRO_DETALHE!$I$21:$I$23,
TED!$N56,
REGISTRO_DETALHE!$I$25:$I$26,
TED!$M56,
REGISTRO_DETALHE!$I$28:$I$32))," ")</f>
        <v xml:space="preserve"> </v>
      </c>
      <c r="U56" s="10"/>
    </row>
    <row r="57" spans="1:21" s="16" customFormat="1" ht="21.95" customHeight="1" x14ac:dyDescent="0.25">
      <c r="A57" s="33" t="str">
        <f t="shared" si="8"/>
        <v>N</v>
      </c>
      <c r="B57" s="17" t="str">
        <f t="shared" si="14"/>
        <v/>
      </c>
      <c r="C57" s="53"/>
      <c r="D57" s="54"/>
      <c r="E57" s="55"/>
      <c r="F57" s="56"/>
      <c r="G57" s="57"/>
      <c r="H57" s="57"/>
      <c r="I57" s="59"/>
      <c r="J57" s="60"/>
      <c r="K57" s="10"/>
      <c r="L57" s="25" t="str">
        <f t="shared" si="12"/>
        <v xml:space="preserve">                              </v>
      </c>
      <c r="M57" s="27" t="str">
        <f t="shared" si="9"/>
        <v/>
      </c>
      <c r="N57" s="27" t="str">
        <f t="shared" si="10"/>
        <v>000000000000000</v>
      </c>
      <c r="O57" s="20" t="str">
        <f t="shared" si="4"/>
        <v>000</v>
      </c>
      <c r="P57" s="20" t="str">
        <f t="shared" si="5"/>
        <v>00000</v>
      </c>
      <c r="Q57" s="26" t="str">
        <f t="shared" si="6"/>
        <v xml:space="preserve"> 000000000000</v>
      </c>
      <c r="R57" s="20" t="str">
        <f t="shared" si="7"/>
        <v xml:space="preserve"> </v>
      </c>
      <c r="S57" s="10"/>
      <c r="T57" s="36" t="str">
        <f>IF($A57="S",(_xlfn.CONCAT(
REGISTRO_DETALHE!$I$4:$I$6,
TED!$B57,
REGISTRO_DETALHE!$I$8:$I$10,
TED!$O57:$R57,
TED!$L57,
REGISTRO_DETALHE!$I$14:$I$19,
TED!$N57,
REGISTRO_DETALHE!$I$21:$I$23,
TED!$N57,
REGISTRO_DETALHE!$I$25:$I$26,
TED!$M57,
REGISTRO_DETALHE!$I$28:$I$32))," ")</f>
        <v xml:space="preserve"> </v>
      </c>
      <c r="U57" s="10"/>
    </row>
    <row r="58" spans="1:21" s="16" customFormat="1" ht="21.95" customHeight="1" x14ac:dyDescent="0.25">
      <c r="A58" s="33" t="str">
        <f t="shared" si="8"/>
        <v>N</v>
      </c>
      <c r="B58" s="17" t="str">
        <f t="shared" si="14"/>
        <v/>
      </c>
      <c r="C58" s="53"/>
      <c r="D58" s="54"/>
      <c r="E58" s="55"/>
      <c r="F58" s="56"/>
      <c r="G58" s="57"/>
      <c r="H58" s="57"/>
      <c r="I58" s="59"/>
      <c r="J58" s="60"/>
      <c r="K58" s="10"/>
      <c r="L58" s="25" t="str">
        <f t="shared" si="12"/>
        <v xml:space="preserve">                              </v>
      </c>
      <c r="M58" s="27" t="str">
        <f t="shared" si="9"/>
        <v/>
      </c>
      <c r="N58" s="27" t="str">
        <f t="shared" si="10"/>
        <v>000000000000000</v>
      </c>
      <c r="O58" s="20" t="str">
        <f t="shared" si="4"/>
        <v>000</v>
      </c>
      <c r="P58" s="20" t="str">
        <f t="shared" si="5"/>
        <v>00000</v>
      </c>
      <c r="Q58" s="26" t="str">
        <f t="shared" si="6"/>
        <v xml:space="preserve"> 000000000000</v>
      </c>
      <c r="R58" s="20" t="str">
        <f t="shared" si="7"/>
        <v xml:space="preserve"> </v>
      </c>
      <c r="S58" s="10"/>
      <c r="T58" s="36" t="str">
        <f>IF($A58="S",(_xlfn.CONCAT(
REGISTRO_DETALHE!$I$4:$I$6,
TED!$B58,
REGISTRO_DETALHE!$I$8:$I$10,
TED!$O58:$R58,
TED!$L58,
REGISTRO_DETALHE!$I$14:$I$19,
TED!$N58,
REGISTRO_DETALHE!$I$21:$I$23,
TED!$N58,
REGISTRO_DETALHE!$I$25:$I$26,
TED!$M58,
REGISTRO_DETALHE!$I$28:$I$32))," ")</f>
        <v xml:space="preserve"> </v>
      </c>
      <c r="U58" s="10"/>
    </row>
    <row r="59" spans="1:21" s="16" customFormat="1" ht="21.95" customHeight="1" x14ac:dyDescent="0.25">
      <c r="A59" s="33" t="str">
        <f t="shared" si="8"/>
        <v>N</v>
      </c>
      <c r="B59" s="17" t="str">
        <f t="shared" si="14"/>
        <v/>
      </c>
      <c r="C59" s="53"/>
      <c r="D59" s="54"/>
      <c r="E59" s="55"/>
      <c r="F59" s="56"/>
      <c r="G59" s="57"/>
      <c r="H59" s="57"/>
      <c r="I59" s="59"/>
      <c r="J59" s="60"/>
      <c r="K59" s="10"/>
      <c r="L59" s="25" t="str">
        <f t="shared" si="12"/>
        <v xml:space="preserve">                              </v>
      </c>
      <c r="M59" s="27" t="str">
        <f t="shared" si="9"/>
        <v/>
      </c>
      <c r="N59" s="27" t="str">
        <f t="shared" si="10"/>
        <v>000000000000000</v>
      </c>
      <c r="O59" s="20" t="str">
        <f t="shared" si="4"/>
        <v>000</v>
      </c>
      <c r="P59" s="20" t="str">
        <f t="shared" si="5"/>
        <v>00000</v>
      </c>
      <c r="Q59" s="26" t="str">
        <f t="shared" si="6"/>
        <v xml:space="preserve"> 000000000000</v>
      </c>
      <c r="R59" s="20" t="str">
        <f t="shared" si="7"/>
        <v xml:space="preserve"> </v>
      </c>
      <c r="S59" s="10"/>
      <c r="T59" s="36" t="str">
        <f>IF($A59="S",(_xlfn.CONCAT(
REGISTRO_DETALHE!$I$4:$I$6,
TED!$B59,
REGISTRO_DETALHE!$I$8:$I$10,
TED!$O59:$R59,
TED!$L59,
REGISTRO_DETALHE!$I$14:$I$19,
TED!$N59,
REGISTRO_DETALHE!$I$21:$I$23,
TED!$N59,
REGISTRO_DETALHE!$I$25:$I$26,
TED!$M59,
REGISTRO_DETALHE!$I$28:$I$32))," ")</f>
        <v xml:space="preserve"> </v>
      </c>
      <c r="U59" s="10"/>
    </row>
    <row r="60" spans="1:21" s="16" customFormat="1" ht="21.95" customHeight="1" x14ac:dyDescent="0.25">
      <c r="A60" s="33" t="str">
        <f t="shared" si="8"/>
        <v>N</v>
      </c>
      <c r="B60" s="17" t="str">
        <f t="shared" si="14"/>
        <v/>
      </c>
      <c r="C60" s="53"/>
      <c r="D60" s="54"/>
      <c r="E60" s="55"/>
      <c r="F60" s="56"/>
      <c r="G60" s="57"/>
      <c r="H60" s="57"/>
      <c r="I60" s="59"/>
      <c r="J60" s="60"/>
      <c r="K60" s="10"/>
      <c r="L60" s="25" t="str">
        <f t="shared" si="12"/>
        <v xml:space="preserve">                              </v>
      </c>
      <c r="M60" s="27" t="str">
        <f t="shared" si="9"/>
        <v/>
      </c>
      <c r="N60" s="27" t="str">
        <f t="shared" si="10"/>
        <v>000000000000000</v>
      </c>
      <c r="O60" s="20" t="str">
        <f t="shared" si="4"/>
        <v>000</v>
      </c>
      <c r="P60" s="20" t="str">
        <f t="shared" si="5"/>
        <v>00000</v>
      </c>
      <c r="Q60" s="26" t="str">
        <f t="shared" si="6"/>
        <v xml:space="preserve"> 000000000000</v>
      </c>
      <c r="R60" s="20" t="str">
        <f t="shared" si="7"/>
        <v xml:space="preserve"> </v>
      </c>
      <c r="S60" s="10"/>
      <c r="T60" s="36" t="str">
        <f>IF($A60="S",(_xlfn.CONCAT(
REGISTRO_DETALHE!$I$4:$I$6,
TED!$B60,
REGISTRO_DETALHE!$I$8:$I$10,
TED!$O60:$R60,
TED!$L60,
REGISTRO_DETALHE!$I$14:$I$19,
TED!$N60,
REGISTRO_DETALHE!$I$21:$I$23,
TED!$N60,
REGISTRO_DETALHE!$I$25:$I$26,
TED!$M60,
REGISTRO_DETALHE!$I$28:$I$32))," ")</f>
        <v xml:space="preserve"> </v>
      </c>
      <c r="U60" s="10"/>
    </row>
    <row r="61" spans="1:21" s="16" customFormat="1" ht="21.95" customHeight="1" x14ac:dyDescent="0.25">
      <c r="A61" s="33" t="str">
        <f t="shared" si="8"/>
        <v>N</v>
      </c>
      <c r="B61" s="17" t="str">
        <f t="shared" si="14"/>
        <v/>
      </c>
      <c r="C61" s="53"/>
      <c r="D61" s="54"/>
      <c r="E61" s="55"/>
      <c r="F61" s="56"/>
      <c r="G61" s="57"/>
      <c r="H61" s="57"/>
      <c r="I61" s="59"/>
      <c r="J61" s="60"/>
      <c r="K61" s="10"/>
      <c r="L61" s="25" t="str">
        <f t="shared" si="12"/>
        <v xml:space="preserve">                              </v>
      </c>
      <c r="M61" s="27" t="str">
        <f t="shared" si="9"/>
        <v/>
      </c>
      <c r="N61" s="27" t="str">
        <f t="shared" si="10"/>
        <v>000000000000000</v>
      </c>
      <c r="O61" s="20" t="str">
        <f t="shared" si="4"/>
        <v>000</v>
      </c>
      <c r="P61" s="20" t="str">
        <f t="shared" si="5"/>
        <v>00000</v>
      </c>
      <c r="Q61" s="26" t="str">
        <f t="shared" si="6"/>
        <v xml:space="preserve"> 000000000000</v>
      </c>
      <c r="R61" s="20" t="str">
        <f t="shared" si="7"/>
        <v xml:space="preserve"> </v>
      </c>
      <c r="S61" s="10"/>
      <c r="T61" s="36" t="str">
        <f>IF($A61="S",(_xlfn.CONCAT(
REGISTRO_DETALHE!$I$4:$I$6,
TED!$B61,
REGISTRO_DETALHE!$I$8:$I$10,
TED!$O61:$R61,
TED!$L61,
REGISTRO_DETALHE!$I$14:$I$19,
TED!$N61,
REGISTRO_DETALHE!$I$21:$I$23,
TED!$N61,
REGISTRO_DETALHE!$I$25:$I$26,
TED!$M61,
REGISTRO_DETALHE!$I$28:$I$32))," ")</f>
        <v xml:space="preserve"> </v>
      </c>
      <c r="U61" s="10"/>
    </row>
    <row r="62" spans="1:21" s="16" customFormat="1" ht="21.95" customHeight="1" x14ac:dyDescent="0.25">
      <c r="A62" s="33" t="str">
        <f t="shared" si="8"/>
        <v>N</v>
      </c>
      <c r="B62" s="17" t="str">
        <f t="shared" si="14"/>
        <v/>
      </c>
      <c r="C62" s="53"/>
      <c r="D62" s="54"/>
      <c r="E62" s="55"/>
      <c r="F62" s="56"/>
      <c r="G62" s="57"/>
      <c r="H62" s="57"/>
      <c r="I62" s="59"/>
      <c r="J62" s="60"/>
      <c r="K62" s="10"/>
      <c r="L62" s="25" t="str">
        <f t="shared" si="12"/>
        <v xml:space="preserve">                              </v>
      </c>
      <c r="M62" s="27" t="str">
        <f t="shared" si="9"/>
        <v/>
      </c>
      <c r="N62" s="27" t="str">
        <f t="shared" si="10"/>
        <v>000000000000000</v>
      </c>
      <c r="O62" s="20" t="str">
        <f t="shared" si="4"/>
        <v>000</v>
      </c>
      <c r="P62" s="20" t="str">
        <f t="shared" si="5"/>
        <v>00000</v>
      </c>
      <c r="Q62" s="26" t="str">
        <f t="shared" si="6"/>
        <v xml:space="preserve"> 000000000000</v>
      </c>
      <c r="R62" s="20" t="str">
        <f t="shared" si="7"/>
        <v xml:space="preserve"> </v>
      </c>
      <c r="S62" s="10"/>
      <c r="T62" s="36" t="str">
        <f>IF($A62="S",(_xlfn.CONCAT(
REGISTRO_DETALHE!$I$4:$I$6,
TED!$B62,
REGISTRO_DETALHE!$I$8:$I$10,
TED!$O62:$R62,
TED!$L62,
REGISTRO_DETALHE!$I$14:$I$19,
TED!$N62,
REGISTRO_DETALHE!$I$21:$I$23,
TED!$N62,
REGISTRO_DETALHE!$I$25:$I$26,
TED!$M62,
REGISTRO_DETALHE!$I$28:$I$32))," ")</f>
        <v xml:space="preserve"> </v>
      </c>
      <c r="U62" s="10"/>
    </row>
    <row r="63" spans="1:21" s="16" customFormat="1" ht="21.95" customHeight="1" x14ac:dyDescent="0.25">
      <c r="A63" s="33" t="str">
        <f t="shared" si="8"/>
        <v>N</v>
      </c>
      <c r="B63" s="17" t="str">
        <f t="shared" si="14"/>
        <v/>
      </c>
      <c r="C63" s="53"/>
      <c r="D63" s="54"/>
      <c r="E63" s="55"/>
      <c r="F63" s="56"/>
      <c r="G63" s="57"/>
      <c r="H63" s="57"/>
      <c r="I63" s="59"/>
      <c r="J63" s="60"/>
      <c r="K63" s="10"/>
      <c r="L63" s="25" t="str">
        <f t="shared" si="12"/>
        <v xml:space="preserve">                              </v>
      </c>
      <c r="M63" s="27" t="str">
        <f t="shared" si="9"/>
        <v/>
      </c>
      <c r="N63" s="27" t="str">
        <f t="shared" si="10"/>
        <v>000000000000000</v>
      </c>
      <c r="O63" s="20" t="str">
        <f t="shared" si="4"/>
        <v>000</v>
      </c>
      <c r="P63" s="20" t="str">
        <f t="shared" si="5"/>
        <v>00000</v>
      </c>
      <c r="Q63" s="26" t="str">
        <f t="shared" si="6"/>
        <v xml:space="preserve"> 000000000000</v>
      </c>
      <c r="R63" s="20" t="str">
        <f t="shared" si="7"/>
        <v xml:space="preserve"> </v>
      </c>
      <c r="S63" s="10"/>
      <c r="T63" s="36" t="str">
        <f>IF($A63="S",(_xlfn.CONCAT(
REGISTRO_DETALHE!$I$4:$I$6,
TED!$B63,
REGISTRO_DETALHE!$I$8:$I$10,
TED!$O63:$R63,
TED!$L63,
REGISTRO_DETALHE!$I$14:$I$19,
TED!$N63,
REGISTRO_DETALHE!$I$21:$I$23,
TED!$N63,
REGISTRO_DETALHE!$I$25:$I$26,
TED!$M63,
REGISTRO_DETALHE!$I$28:$I$32))," ")</f>
        <v xml:space="preserve"> </v>
      </c>
      <c r="U63" s="10"/>
    </row>
    <row r="64" spans="1:21" s="16" customFormat="1" ht="21.95" customHeight="1" x14ac:dyDescent="0.25">
      <c r="A64" s="33" t="str">
        <f t="shared" si="8"/>
        <v>N</v>
      </c>
      <c r="B64" s="17" t="str">
        <f t="shared" si="14"/>
        <v/>
      </c>
      <c r="C64" s="53"/>
      <c r="D64" s="54"/>
      <c r="E64" s="55"/>
      <c r="F64" s="56"/>
      <c r="G64" s="57"/>
      <c r="H64" s="57"/>
      <c r="I64" s="59"/>
      <c r="J64" s="60"/>
      <c r="K64" s="10"/>
      <c r="L64" s="25" t="str">
        <f t="shared" si="12"/>
        <v xml:space="preserve">                              </v>
      </c>
      <c r="M64" s="27" t="str">
        <f t="shared" si="9"/>
        <v/>
      </c>
      <c r="N64" s="27" t="str">
        <f t="shared" si="10"/>
        <v>000000000000000</v>
      </c>
      <c r="O64" s="20" t="str">
        <f t="shared" si="4"/>
        <v>000</v>
      </c>
      <c r="P64" s="20" t="str">
        <f t="shared" si="5"/>
        <v>00000</v>
      </c>
      <c r="Q64" s="26" t="str">
        <f t="shared" si="6"/>
        <v xml:space="preserve"> 000000000000</v>
      </c>
      <c r="R64" s="20" t="str">
        <f t="shared" si="7"/>
        <v xml:space="preserve"> </v>
      </c>
      <c r="S64" s="10"/>
      <c r="T64" s="36" t="str">
        <f>IF($A64="S",(_xlfn.CONCAT(
REGISTRO_DETALHE!$I$4:$I$6,
TED!$B64,
REGISTRO_DETALHE!$I$8:$I$10,
TED!$O64:$R64,
TED!$L64,
REGISTRO_DETALHE!$I$14:$I$19,
TED!$N64,
REGISTRO_DETALHE!$I$21:$I$23,
TED!$N64,
REGISTRO_DETALHE!$I$25:$I$26,
TED!$M64,
REGISTRO_DETALHE!$I$28:$I$32))," ")</f>
        <v xml:space="preserve"> </v>
      </c>
      <c r="U64" s="10"/>
    </row>
    <row r="65" spans="1:21" s="16" customFormat="1" ht="21.95" customHeight="1" x14ac:dyDescent="0.25">
      <c r="A65" s="33" t="str">
        <f t="shared" si="8"/>
        <v>N</v>
      </c>
      <c r="B65" s="17" t="str">
        <f t="shared" si="14"/>
        <v/>
      </c>
      <c r="C65" s="53"/>
      <c r="D65" s="54"/>
      <c r="E65" s="55"/>
      <c r="F65" s="56"/>
      <c r="G65" s="57"/>
      <c r="H65" s="57"/>
      <c r="I65" s="59"/>
      <c r="J65" s="60"/>
      <c r="K65" s="10"/>
      <c r="L65" s="25" t="str">
        <f t="shared" si="12"/>
        <v xml:space="preserve">                              </v>
      </c>
      <c r="M65" s="27" t="str">
        <f t="shared" si="9"/>
        <v/>
      </c>
      <c r="N65" s="27" t="str">
        <f t="shared" si="10"/>
        <v>000000000000000</v>
      </c>
      <c r="O65" s="20" t="str">
        <f t="shared" si="4"/>
        <v>000</v>
      </c>
      <c r="P65" s="20" t="str">
        <f t="shared" si="5"/>
        <v>00000</v>
      </c>
      <c r="Q65" s="26" t="str">
        <f t="shared" si="6"/>
        <v xml:space="preserve"> 000000000000</v>
      </c>
      <c r="R65" s="20" t="str">
        <f t="shared" si="7"/>
        <v xml:space="preserve"> </v>
      </c>
      <c r="S65" s="10"/>
      <c r="T65" s="36" t="str">
        <f>IF($A65="S",(_xlfn.CONCAT(
REGISTRO_DETALHE!$I$4:$I$6,
TED!$B65,
REGISTRO_DETALHE!$I$8:$I$10,
TED!$O65:$R65,
TED!$L65,
REGISTRO_DETALHE!$I$14:$I$19,
TED!$N65,
REGISTRO_DETALHE!$I$21:$I$23,
TED!$N65,
REGISTRO_DETALHE!$I$25:$I$26,
TED!$M65,
REGISTRO_DETALHE!$I$28:$I$32))," ")</f>
        <v xml:space="preserve"> </v>
      </c>
      <c r="U65" s="10"/>
    </row>
    <row r="66" spans="1:21" s="16" customFormat="1" ht="21.95" customHeight="1" x14ac:dyDescent="0.25">
      <c r="A66" s="33" t="str">
        <f t="shared" si="8"/>
        <v>N</v>
      </c>
      <c r="B66" s="17" t="str">
        <f t="shared" si="14"/>
        <v/>
      </c>
      <c r="C66" s="53"/>
      <c r="D66" s="54"/>
      <c r="E66" s="55"/>
      <c r="F66" s="56"/>
      <c r="G66" s="57"/>
      <c r="H66" s="57"/>
      <c r="I66" s="59"/>
      <c r="J66" s="60"/>
      <c r="K66" s="10"/>
      <c r="L66" s="25" t="str">
        <f t="shared" si="12"/>
        <v xml:space="preserve">                              </v>
      </c>
      <c r="M66" s="27" t="str">
        <f t="shared" si="9"/>
        <v/>
      </c>
      <c r="N66" s="27" t="str">
        <f t="shared" si="10"/>
        <v>000000000000000</v>
      </c>
      <c r="O66" s="20" t="str">
        <f t="shared" si="4"/>
        <v>000</v>
      </c>
      <c r="P66" s="20" t="str">
        <f t="shared" si="5"/>
        <v>00000</v>
      </c>
      <c r="Q66" s="26" t="str">
        <f t="shared" si="6"/>
        <v xml:space="preserve"> 000000000000</v>
      </c>
      <c r="R66" s="20" t="str">
        <f t="shared" si="7"/>
        <v xml:space="preserve"> </v>
      </c>
      <c r="S66" s="10"/>
      <c r="T66" s="36" t="str">
        <f>IF($A66="S",(_xlfn.CONCAT(
REGISTRO_DETALHE!$I$4:$I$6,
TED!$B66,
REGISTRO_DETALHE!$I$8:$I$10,
TED!$O66:$R66,
TED!$L66,
REGISTRO_DETALHE!$I$14:$I$19,
TED!$N66,
REGISTRO_DETALHE!$I$21:$I$23,
TED!$N66,
REGISTRO_DETALHE!$I$25:$I$26,
TED!$M66,
REGISTRO_DETALHE!$I$28:$I$32))," ")</f>
        <v xml:space="preserve"> </v>
      </c>
      <c r="U66" s="10"/>
    </row>
    <row r="67" spans="1:21" s="16" customFormat="1" ht="21.95" customHeight="1" x14ac:dyDescent="0.25">
      <c r="A67" s="33" t="str">
        <f t="shared" si="8"/>
        <v>N</v>
      </c>
      <c r="B67" s="17" t="str">
        <f t="shared" si="14"/>
        <v/>
      </c>
      <c r="C67" s="53"/>
      <c r="D67" s="54"/>
      <c r="E67" s="55"/>
      <c r="F67" s="56"/>
      <c r="G67" s="57"/>
      <c r="H67" s="57"/>
      <c r="I67" s="59"/>
      <c r="J67" s="60"/>
      <c r="K67" s="10"/>
      <c r="L67" s="25" t="str">
        <f t="shared" si="12"/>
        <v xml:space="preserve">                              </v>
      </c>
      <c r="M67" s="27" t="str">
        <f t="shared" si="9"/>
        <v/>
      </c>
      <c r="N67" s="27" t="str">
        <f t="shared" si="10"/>
        <v>000000000000000</v>
      </c>
      <c r="O67" s="20" t="str">
        <f t="shared" si="4"/>
        <v>000</v>
      </c>
      <c r="P67" s="20" t="str">
        <f t="shared" si="5"/>
        <v>00000</v>
      </c>
      <c r="Q67" s="26" t="str">
        <f t="shared" si="6"/>
        <v xml:space="preserve"> 000000000000</v>
      </c>
      <c r="R67" s="20" t="str">
        <f t="shared" si="7"/>
        <v xml:space="preserve"> </v>
      </c>
      <c r="S67" s="10"/>
      <c r="T67" s="36" t="str">
        <f>IF($A67="S",(_xlfn.CONCAT(
REGISTRO_DETALHE!$I$4:$I$6,
TED!$B67,
REGISTRO_DETALHE!$I$8:$I$10,
TED!$O67:$R67,
TED!$L67,
REGISTRO_DETALHE!$I$14:$I$19,
TED!$N67,
REGISTRO_DETALHE!$I$21:$I$23,
TED!$N67,
REGISTRO_DETALHE!$I$25:$I$26,
TED!$M67,
REGISTRO_DETALHE!$I$28:$I$32))," ")</f>
        <v xml:space="preserve"> </v>
      </c>
      <c r="U67" s="10"/>
    </row>
    <row r="68" spans="1:21" s="16" customFormat="1" ht="21.95" customHeight="1" x14ac:dyDescent="0.25">
      <c r="A68" s="33" t="str">
        <f t="shared" si="8"/>
        <v>N</v>
      </c>
      <c r="B68" s="17" t="str">
        <f t="shared" si="14"/>
        <v/>
      </c>
      <c r="C68" s="53"/>
      <c r="D68" s="54"/>
      <c r="E68" s="55"/>
      <c r="F68" s="56"/>
      <c r="G68" s="57"/>
      <c r="H68" s="57"/>
      <c r="I68" s="59"/>
      <c r="J68" s="60"/>
      <c r="K68" s="10"/>
      <c r="L68" s="25" t="str">
        <f t="shared" si="12"/>
        <v xml:space="preserve">                              </v>
      </c>
      <c r="M68" s="27" t="str">
        <f t="shared" si="9"/>
        <v/>
      </c>
      <c r="N68" s="27" t="str">
        <f t="shared" si="10"/>
        <v>000000000000000</v>
      </c>
      <c r="O68" s="20" t="str">
        <f t="shared" si="4"/>
        <v>000</v>
      </c>
      <c r="P68" s="20" t="str">
        <f t="shared" si="5"/>
        <v>00000</v>
      </c>
      <c r="Q68" s="26" t="str">
        <f t="shared" si="6"/>
        <v xml:space="preserve"> 000000000000</v>
      </c>
      <c r="R68" s="20" t="str">
        <f t="shared" si="7"/>
        <v xml:space="preserve"> </v>
      </c>
      <c r="S68" s="10"/>
      <c r="T68" s="36" t="str">
        <f>IF($A68="S",(_xlfn.CONCAT(
REGISTRO_DETALHE!$I$4:$I$6,
TED!$B68,
REGISTRO_DETALHE!$I$8:$I$10,
TED!$O68:$R68,
TED!$L68,
REGISTRO_DETALHE!$I$14:$I$19,
TED!$N68,
REGISTRO_DETALHE!$I$21:$I$23,
TED!$N68,
REGISTRO_DETALHE!$I$25:$I$26,
TED!$M68,
REGISTRO_DETALHE!$I$28:$I$32))," ")</f>
        <v xml:space="preserve"> </v>
      </c>
      <c r="U68" s="10"/>
    </row>
    <row r="69" spans="1:21" s="16" customFormat="1" ht="21.95" customHeight="1" x14ac:dyDescent="0.25">
      <c r="A69" s="33" t="str">
        <f t="shared" si="8"/>
        <v>N</v>
      </c>
      <c r="B69" s="17" t="str">
        <f t="shared" ref="B69:B106" si="15">IF(C69="","",(TEXT((B68+1),"00000")))</f>
        <v/>
      </c>
      <c r="C69" s="53"/>
      <c r="D69" s="54"/>
      <c r="E69" s="55"/>
      <c r="F69" s="56"/>
      <c r="G69" s="57"/>
      <c r="H69" s="57"/>
      <c r="I69" s="59"/>
      <c r="J69" s="60"/>
      <c r="K69" s="10"/>
      <c r="L69" s="25" t="str">
        <f t="shared" si="12"/>
        <v xml:space="preserve">                              </v>
      </c>
      <c r="M69" s="27" t="str">
        <f t="shared" si="9"/>
        <v/>
      </c>
      <c r="N69" s="27" t="str">
        <f t="shared" si="10"/>
        <v>000000000000000</v>
      </c>
      <c r="O69" s="20" t="str">
        <f t="shared" si="4"/>
        <v>000</v>
      </c>
      <c r="P69" s="20" t="str">
        <f t="shared" si="5"/>
        <v>00000</v>
      </c>
      <c r="Q69" s="26" t="str">
        <f t="shared" si="6"/>
        <v xml:space="preserve"> 000000000000</v>
      </c>
      <c r="R69" s="20" t="str">
        <f t="shared" si="7"/>
        <v xml:space="preserve"> </v>
      </c>
      <c r="S69" s="10"/>
      <c r="T69" s="36" t="str">
        <f>IF($A69="S",(_xlfn.CONCAT(
REGISTRO_DETALHE!$I$4:$I$6,
TED!$B69,
REGISTRO_DETALHE!$I$8:$I$10,
TED!$O69:$R69,
TED!$L69,
REGISTRO_DETALHE!$I$14:$I$19,
TED!$N69,
REGISTRO_DETALHE!$I$21:$I$23,
TED!$N69,
REGISTRO_DETALHE!$I$25:$I$26,
TED!$M69,
REGISTRO_DETALHE!$I$28:$I$32))," ")</f>
        <v xml:space="preserve"> </v>
      </c>
      <c r="U69" s="10"/>
    </row>
    <row r="70" spans="1:21" s="16" customFormat="1" ht="21.95" customHeight="1" x14ac:dyDescent="0.25">
      <c r="A70" s="33" t="str">
        <f t="shared" si="8"/>
        <v>N</v>
      </c>
      <c r="B70" s="17" t="str">
        <f t="shared" si="15"/>
        <v/>
      </c>
      <c r="C70" s="53"/>
      <c r="D70" s="54"/>
      <c r="E70" s="55"/>
      <c r="F70" s="56"/>
      <c r="G70" s="57"/>
      <c r="H70" s="57"/>
      <c r="I70" s="59"/>
      <c r="J70" s="60"/>
      <c r="K70" s="10"/>
      <c r="L70" s="25" t="str">
        <f t="shared" si="12"/>
        <v xml:space="preserve">                              </v>
      </c>
      <c r="M70" s="27" t="str">
        <f t="shared" si="9"/>
        <v/>
      </c>
      <c r="N70" s="27" t="str">
        <f t="shared" si="10"/>
        <v>000000000000000</v>
      </c>
      <c r="O70" s="20" t="str">
        <f t="shared" si="4"/>
        <v>000</v>
      </c>
      <c r="P70" s="20" t="str">
        <f t="shared" si="5"/>
        <v>00000</v>
      </c>
      <c r="Q70" s="26" t="str">
        <f t="shared" si="6"/>
        <v xml:space="preserve"> 000000000000</v>
      </c>
      <c r="R70" s="20" t="str">
        <f t="shared" si="7"/>
        <v xml:space="preserve"> </v>
      </c>
      <c r="S70" s="10"/>
      <c r="T70" s="36" t="str">
        <f>IF($A70="S",(_xlfn.CONCAT(
REGISTRO_DETALHE!$I$4:$I$6,
TED!$B70,
REGISTRO_DETALHE!$I$8:$I$10,
TED!$O70:$R70,
TED!$L70,
REGISTRO_DETALHE!$I$14:$I$19,
TED!$N70,
REGISTRO_DETALHE!$I$21:$I$23,
TED!$N70,
REGISTRO_DETALHE!$I$25:$I$26,
TED!$M70,
REGISTRO_DETALHE!$I$28:$I$32))," ")</f>
        <v xml:space="preserve"> </v>
      </c>
      <c r="U70" s="10"/>
    </row>
    <row r="71" spans="1:21" s="16" customFormat="1" ht="21.95" customHeight="1" x14ac:dyDescent="0.25">
      <c r="A71" s="33" t="str">
        <f t="shared" si="8"/>
        <v>N</v>
      </c>
      <c r="B71" s="17" t="str">
        <f t="shared" si="15"/>
        <v/>
      </c>
      <c r="C71" s="53"/>
      <c r="D71" s="54"/>
      <c r="E71" s="55"/>
      <c r="F71" s="56"/>
      <c r="G71" s="57"/>
      <c r="H71" s="57"/>
      <c r="I71" s="59"/>
      <c r="J71" s="60"/>
      <c r="K71" s="10"/>
      <c r="L71" s="25" t="str">
        <f t="shared" si="12"/>
        <v xml:space="preserve">                              </v>
      </c>
      <c r="M71" s="27" t="str">
        <f t="shared" si="9"/>
        <v/>
      </c>
      <c r="N71" s="27" t="str">
        <f t="shared" si="10"/>
        <v>000000000000000</v>
      </c>
      <c r="O71" s="20" t="str">
        <f t="shared" si="4"/>
        <v>000</v>
      </c>
      <c r="P71" s="20" t="str">
        <f t="shared" si="5"/>
        <v>00000</v>
      </c>
      <c r="Q71" s="26" t="str">
        <f t="shared" si="6"/>
        <v xml:space="preserve"> 000000000000</v>
      </c>
      <c r="R71" s="20" t="str">
        <f t="shared" si="7"/>
        <v xml:space="preserve"> </v>
      </c>
      <c r="S71" s="10"/>
      <c r="T71" s="36" t="str">
        <f>IF($A71="S",(_xlfn.CONCAT(
REGISTRO_DETALHE!$I$4:$I$6,
TED!$B71,
REGISTRO_DETALHE!$I$8:$I$10,
TED!$O71:$R71,
TED!$L71,
REGISTRO_DETALHE!$I$14:$I$19,
TED!$N71,
REGISTRO_DETALHE!$I$21:$I$23,
TED!$N71,
REGISTRO_DETALHE!$I$25:$I$26,
TED!$M71,
REGISTRO_DETALHE!$I$28:$I$32))," ")</f>
        <v xml:space="preserve"> </v>
      </c>
      <c r="U71" s="10"/>
    </row>
    <row r="72" spans="1:21" s="16" customFormat="1" ht="21.95" customHeight="1" x14ac:dyDescent="0.25">
      <c r="A72" s="33" t="str">
        <f t="shared" si="8"/>
        <v>N</v>
      </c>
      <c r="B72" s="17" t="str">
        <f t="shared" si="15"/>
        <v/>
      </c>
      <c r="C72" s="53"/>
      <c r="D72" s="54"/>
      <c r="E72" s="55"/>
      <c r="F72" s="56"/>
      <c r="G72" s="57"/>
      <c r="H72" s="57"/>
      <c r="I72" s="59"/>
      <c r="J72" s="60"/>
      <c r="K72" s="10"/>
      <c r="L72" s="25" t="str">
        <f t="shared" si="12"/>
        <v xml:space="preserve">                              </v>
      </c>
      <c r="M72" s="27" t="str">
        <f t="shared" si="9"/>
        <v/>
      </c>
      <c r="N72" s="27" t="str">
        <f t="shared" si="10"/>
        <v>000000000000000</v>
      </c>
      <c r="O72" s="20" t="str">
        <f t="shared" ref="O72:O106" si="16">TEXT(F72,"000")</f>
        <v>000</v>
      </c>
      <c r="P72" s="20" t="str">
        <f t="shared" ref="P72:P106" si="17">(TEXT(G72,"00000"))</f>
        <v>00000</v>
      </c>
      <c r="Q72" s="26" t="str">
        <f t="shared" ref="Q72:Q106" si="18">" "&amp;(TEXT(H72,"000000000000"))</f>
        <v xml:space="preserve"> 000000000000</v>
      </c>
      <c r="R72" s="20" t="str">
        <f t="shared" ref="R72:R106" si="19">_xlfn.CONCAT(" ",I72)</f>
        <v xml:space="preserve"> </v>
      </c>
      <c r="S72" s="10"/>
      <c r="T72" s="36" t="str">
        <f>IF($A72="S",(_xlfn.CONCAT(
REGISTRO_DETALHE!$I$4:$I$6,
TED!$B72,
REGISTRO_DETALHE!$I$8:$I$10,
TED!$O72:$R72,
TED!$L72,
REGISTRO_DETALHE!$I$14:$I$19,
TED!$N72,
REGISTRO_DETALHE!$I$21:$I$23,
TED!$N72,
REGISTRO_DETALHE!$I$25:$I$26,
TED!$M72,
REGISTRO_DETALHE!$I$28:$I$32))," ")</f>
        <v xml:space="preserve"> </v>
      </c>
      <c r="U72" s="10"/>
    </row>
    <row r="73" spans="1:21" s="16" customFormat="1" ht="21.95" customHeight="1" x14ac:dyDescent="0.25">
      <c r="A73" s="33" t="str">
        <f t="shared" ref="A73:A106" si="20">IF(OR(C73="",D73="",E73="",F73="",G73="",H73="",I73=""),"N","S")</f>
        <v>N</v>
      </c>
      <c r="B73" s="17" t="str">
        <f t="shared" si="15"/>
        <v/>
      </c>
      <c r="C73" s="53"/>
      <c r="D73" s="54"/>
      <c r="E73" s="55"/>
      <c r="F73" s="56"/>
      <c r="G73" s="57"/>
      <c r="H73" s="57"/>
      <c r="I73" s="59"/>
      <c r="J73" s="60"/>
      <c r="K73" s="10"/>
      <c r="L73" s="25" t="str">
        <f t="shared" si="12"/>
        <v xml:space="preserve">                              </v>
      </c>
      <c r="M73" s="27" t="str">
        <f t="shared" si="9"/>
        <v/>
      </c>
      <c r="N73" s="27" t="str">
        <f t="shared" si="10"/>
        <v>000000000000000</v>
      </c>
      <c r="O73" s="20" t="str">
        <f t="shared" si="16"/>
        <v>000</v>
      </c>
      <c r="P73" s="20" t="str">
        <f t="shared" si="17"/>
        <v>00000</v>
      </c>
      <c r="Q73" s="26" t="str">
        <f t="shared" si="18"/>
        <v xml:space="preserve"> 000000000000</v>
      </c>
      <c r="R73" s="20" t="str">
        <f t="shared" si="19"/>
        <v xml:space="preserve"> </v>
      </c>
      <c r="S73" s="10"/>
      <c r="T73" s="36" t="str">
        <f>IF($A73="S",(_xlfn.CONCAT(
REGISTRO_DETALHE!$I$4:$I$6,
TED!$B73,
REGISTRO_DETALHE!$I$8:$I$10,
TED!$O73:$R73,
TED!$L73,
REGISTRO_DETALHE!$I$14:$I$19,
TED!$N73,
REGISTRO_DETALHE!$I$21:$I$23,
TED!$N73,
REGISTRO_DETALHE!$I$25:$I$26,
TED!$M73,
REGISTRO_DETALHE!$I$28:$I$32))," ")</f>
        <v xml:space="preserve"> </v>
      </c>
      <c r="U73" s="10"/>
    </row>
    <row r="74" spans="1:21" s="16" customFormat="1" ht="21.95" customHeight="1" x14ac:dyDescent="0.25">
      <c r="A74" s="33" t="str">
        <f t="shared" si="20"/>
        <v>N</v>
      </c>
      <c r="B74" s="17" t="str">
        <f t="shared" si="15"/>
        <v/>
      </c>
      <c r="C74" s="53"/>
      <c r="D74" s="54"/>
      <c r="E74" s="55"/>
      <c r="F74" s="56"/>
      <c r="G74" s="57"/>
      <c r="H74" s="57"/>
      <c r="I74" s="59"/>
      <c r="J74" s="60"/>
      <c r="K74" s="10"/>
      <c r="L74" s="25" t="str">
        <f t="shared" si="12"/>
        <v xml:space="preserve">                              </v>
      </c>
      <c r="M74" s="27" t="str">
        <f t="shared" ref="M74:M106" si="21">TEXT(SUBSTITUTE((SUBSTITUTE(SUBSTITUTE(D74,"-",""),".","")),"/",""),"00000000000000")</f>
        <v/>
      </c>
      <c r="N74" s="27" t="str">
        <f t="shared" si="10"/>
        <v>000000000000000</v>
      </c>
      <c r="O74" s="20" t="str">
        <f t="shared" si="16"/>
        <v>000</v>
      </c>
      <c r="P74" s="20" t="str">
        <f t="shared" si="17"/>
        <v>00000</v>
      </c>
      <c r="Q74" s="26" t="str">
        <f t="shared" si="18"/>
        <v xml:space="preserve"> 000000000000</v>
      </c>
      <c r="R74" s="20" t="str">
        <f t="shared" si="19"/>
        <v xml:space="preserve"> </v>
      </c>
      <c r="S74" s="10"/>
      <c r="T74" s="36" t="str">
        <f>IF($A74="S",(_xlfn.CONCAT(
REGISTRO_DETALHE!$I$4:$I$6,
TED!$B74,
REGISTRO_DETALHE!$I$8:$I$10,
TED!$O74:$R74,
TED!$L74,
REGISTRO_DETALHE!$I$14:$I$19,
TED!$N74,
REGISTRO_DETALHE!$I$21:$I$23,
TED!$N74,
REGISTRO_DETALHE!$I$25:$I$26,
TED!$M74,
REGISTRO_DETALHE!$I$28:$I$32))," ")</f>
        <v xml:space="preserve"> </v>
      </c>
      <c r="U74" s="10"/>
    </row>
    <row r="75" spans="1:21" s="16" customFormat="1" ht="21.95" customHeight="1" x14ac:dyDescent="0.25">
      <c r="A75" s="33" t="str">
        <f t="shared" si="20"/>
        <v>N</v>
      </c>
      <c r="B75" s="17" t="str">
        <f t="shared" si="15"/>
        <v/>
      </c>
      <c r="C75" s="53"/>
      <c r="D75" s="54"/>
      <c r="E75" s="55"/>
      <c r="F75" s="56"/>
      <c r="G75" s="57"/>
      <c r="H75" s="57"/>
      <c r="I75" s="59"/>
      <c r="J75" s="60"/>
      <c r="K75" s="10"/>
      <c r="L75" s="25" t="str">
        <f t="shared" si="12"/>
        <v xml:space="preserve">                              </v>
      </c>
      <c r="M75" s="27" t="str">
        <f t="shared" si="21"/>
        <v/>
      </c>
      <c r="N75" s="27" t="str">
        <f t="shared" si="10"/>
        <v>000000000000000</v>
      </c>
      <c r="O75" s="20" t="str">
        <f t="shared" si="16"/>
        <v>000</v>
      </c>
      <c r="P75" s="20" t="str">
        <f t="shared" si="17"/>
        <v>00000</v>
      </c>
      <c r="Q75" s="26" t="str">
        <f t="shared" si="18"/>
        <v xml:space="preserve"> 000000000000</v>
      </c>
      <c r="R75" s="20" t="str">
        <f t="shared" si="19"/>
        <v xml:space="preserve"> </v>
      </c>
      <c r="S75" s="10"/>
      <c r="T75" s="36" t="str">
        <f>IF($A75="S",(_xlfn.CONCAT(
REGISTRO_DETALHE!$I$4:$I$6,
TED!$B75,
REGISTRO_DETALHE!$I$8:$I$10,
TED!$O75:$R75,
TED!$L75,
REGISTRO_DETALHE!$I$14:$I$19,
TED!$N75,
REGISTRO_DETALHE!$I$21:$I$23,
TED!$N75,
REGISTRO_DETALHE!$I$25:$I$26,
TED!$M75,
REGISTRO_DETALHE!$I$28:$I$32))," ")</f>
        <v xml:space="preserve"> </v>
      </c>
      <c r="U75" s="10"/>
    </row>
    <row r="76" spans="1:21" s="16" customFormat="1" ht="21.95" customHeight="1" x14ac:dyDescent="0.25">
      <c r="A76" s="33" t="str">
        <f t="shared" si="20"/>
        <v>N</v>
      </c>
      <c r="B76" s="17" t="str">
        <f t="shared" si="15"/>
        <v/>
      </c>
      <c r="C76" s="53"/>
      <c r="D76" s="54"/>
      <c r="E76" s="55"/>
      <c r="F76" s="56"/>
      <c r="G76" s="57"/>
      <c r="H76" s="57"/>
      <c r="I76" s="59"/>
      <c r="J76" s="60"/>
      <c r="K76" s="10"/>
      <c r="L76" s="25" t="str">
        <f t="shared" si="12"/>
        <v xml:space="preserve">                              </v>
      </c>
      <c r="M76" s="27" t="str">
        <f t="shared" si="21"/>
        <v/>
      </c>
      <c r="N76" s="27" t="str">
        <f t="shared" ref="N76:N106" si="22">TEXT((SUBSTITUTE(SUBSTITUTE((E76*100),",",""),".","")),"000000000000000")</f>
        <v>000000000000000</v>
      </c>
      <c r="O76" s="20" t="str">
        <f t="shared" si="16"/>
        <v>000</v>
      </c>
      <c r="P76" s="20" t="str">
        <f t="shared" si="17"/>
        <v>00000</v>
      </c>
      <c r="Q76" s="26" t="str">
        <f t="shared" si="18"/>
        <v xml:space="preserve"> 000000000000</v>
      </c>
      <c r="R76" s="20" t="str">
        <f t="shared" si="19"/>
        <v xml:space="preserve"> </v>
      </c>
      <c r="S76" s="10"/>
      <c r="T76" s="36" t="str">
        <f>IF($A76="S",(_xlfn.CONCAT(
REGISTRO_DETALHE!$I$4:$I$6,
TED!$B76,
REGISTRO_DETALHE!$I$8:$I$10,
TED!$O76:$R76,
TED!$L76,
REGISTRO_DETALHE!$I$14:$I$19,
TED!$N76,
REGISTRO_DETALHE!$I$21:$I$23,
TED!$N76,
REGISTRO_DETALHE!$I$25:$I$26,
TED!$M76,
REGISTRO_DETALHE!$I$28:$I$32))," ")</f>
        <v xml:space="preserve"> </v>
      </c>
      <c r="U76" s="10"/>
    </row>
    <row r="77" spans="1:21" s="16" customFormat="1" ht="21.95" customHeight="1" x14ac:dyDescent="0.25">
      <c r="A77" s="33" t="str">
        <f t="shared" si="20"/>
        <v>N</v>
      </c>
      <c r="B77" s="17" t="str">
        <f t="shared" si="15"/>
        <v/>
      </c>
      <c r="C77" s="53"/>
      <c r="D77" s="54"/>
      <c r="E77" s="55"/>
      <c r="F77" s="56"/>
      <c r="G77" s="57"/>
      <c r="H77" s="57"/>
      <c r="I77" s="59"/>
      <c r="J77" s="60"/>
      <c r="K77" s="10"/>
      <c r="L77" s="25" t="str">
        <f t="shared" si="12"/>
        <v xml:space="preserve">                              </v>
      </c>
      <c r="M77" s="27" t="str">
        <f t="shared" si="21"/>
        <v/>
      </c>
      <c r="N77" s="27" t="str">
        <f t="shared" si="22"/>
        <v>000000000000000</v>
      </c>
      <c r="O77" s="20" t="str">
        <f t="shared" si="16"/>
        <v>000</v>
      </c>
      <c r="P77" s="20" t="str">
        <f t="shared" si="17"/>
        <v>00000</v>
      </c>
      <c r="Q77" s="26" t="str">
        <f t="shared" si="18"/>
        <v xml:space="preserve"> 000000000000</v>
      </c>
      <c r="R77" s="20" t="str">
        <f t="shared" si="19"/>
        <v xml:space="preserve"> </v>
      </c>
      <c r="S77" s="10"/>
      <c r="T77" s="36" t="str">
        <f>IF($A77="S",(_xlfn.CONCAT(
REGISTRO_DETALHE!$I$4:$I$6,
TED!$B77,
REGISTRO_DETALHE!$I$8:$I$10,
TED!$O77:$R77,
TED!$L77,
REGISTRO_DETALHE!$I$14:$I$19,
TED!$N77,
REGISTRO_DETALHE!$I$21:$I$23,
TED!$N77,
REGISTRO_DETALHE!$I$25:$I$26,
TED!$M77,
REGISTRO_DETALHE!$I$28:$I$32))," ")</f>
        <v xml:space="preserve"> </v>
      </c>
      <c r="U77" s="10"/>
    </row>
    <row r="78" spans="1:21" s="16" customFormat="1" ht="21.95" customHeight="1" x14ac:dyDescent="0.25">
      <c r="A78" s="33" t="str">
        <f t="shared" si="20"/>
        <v>N</v>
      </c>
      <c r="B78" s="17" t="str">
        <f t="shared" si="15"/>
        <v/>
      </c>
      <c r="C78" s="53"/>
      <c r="D78" s="54"/>
      <c r="E78" s="55"/>
      <c r="F78" s="56"/>
      <c r="G78" s="57"/>
      <c r="H78" s="57"/>
      <c r="I78" s="59"/>
      <c r="J78" s="60"/>
      <c r="K78" s="10"/>
      <c r="L78" s="25" t="str">
        <f t="shared" si="12"/>
        <v xml:space="preserve">                              </v>
      </c>
      <c r="M78" s="27" t="str">
        <f t="shared" si="21"/>
        <v/>
      </c>
      <c r="N78" s="27" t="str">
        <f t="shared" si="22"/>
        <v>000000000000000</v>
      </c>
      <c r="O78" s="20" t="str">
        <f t="shared" si="16"/>
        <v>000</v>
      </c>
      <c r="P78" s="20" t="str">
        <f t="shared" si="17"/>
        <v>00000</v>
      </c>
      <c r="Q78" s="26" t="str">
        <f t="shared" si="18"/>
        <v xml:space="preserve"> 000000000000</v>
      </c>
      <c r="R78" s="20" t="str">
        <f t="shared" si="19"/>
        <v xml:space="preserve"> </v>
      </c>
      <c r="S78" s="10"/>
      <c r="T78" s="36" t="str">
        <f>IF($A78="S",(_xlfn.CONCAT(
REGISTRO_DETALHE!$I$4:$I$6,
TED!$B78,
REGISTRO_DETALHE!$I$8:$I$10,
TED!$O78:$R78,
TED!$L78,
REGISTRO_DETALHE!$I$14:$I$19,
TED!$N78,
REGISTRO_DETALHE!$I$21:$I$23,
TED!$N78,
REGISTRO_DETALHE!$I$25:$I$26,
TED!$M78,
REGISTRO_DETALHE!$I$28:$I$32))," ")</f>
        <v xml:space="preserve"> </v>
      </c>
      <c r="U78" s="10"/>
    </row>
    <row r="79" spans="1:21" s="16" customFormat="1" ht="21.95" customHeight="1" x14ac:dyDescent="0.25">
      <c r="A79" s="33" t="str">
        <f t="shared" si="20"/>
        <v>N</v>
      </c>
      <c r="B79" s="17" t="str">
        <f t="shared" si="15"/>
        <v/>
      </c>
      <c r="C79" s="53"/>
      <c r="D79" s="54"/>
      <c r="E79" s="55"/>
      <c r="F79" s="56"/>
      <c r="G79" s="57"/>
      <c r="H79" s="57"/>
      <c r="I79" s="59"/>
      <c r="J79" s="60"/>
      <c r="K79" s="10"/>
      <c r="L79" s="25" t="str">
        <f t="shared" si="12"/>
        <v xml:space="preserve">                              </v>
      </c>
      <c r="M79" s="27" t="str">
        <f t="shared" si="21"/>
        <v/>
      </c>
      <c r="N79" s="27" t="str">
        <f t="shared" si="22"/>
        <v>000000000000000</v>
      </c>
      <c r="O79" s="20" t="str">
        <f t="shared" si="16"/>
        <v>000</v>
      </c>
      <c r="P79" s="20" t="str">
        <f t="shared" si="17"/>
        <v>00000</v>
      </c>
      <c r="Q79" s="26" t="str">
        <f t="shared" si="18"/>
        <v xml:space="preserve"> 000000000000</v>
      </c>
      <c r="R79" s="20" t="str">
        <f t="shared" si="19"/>
        <v xml:space="preserve"> </v>
      </c>
      <c r="S79" s="10"/>
      <c r="T79" s="36" t="str">
        <f>IF($A79="S",(_xlfn.CONCAT(
REGISTRO_DETALHE!$I$4:$I$6,
TED!$B79,
REGISTRO_DETALHE!$I$8:$I$10,
TED!$O79:$R79,
TED!$L79,
REGISTRO_DETALHE!$I$14:$I$19,
TED!$N79,
REGISTRO_DETALHE!$I$21:$I$23,
TED!$N79,
REGISTRO_DETALHE!$I$25:$I$26,
TED!$M79,
REGISTRO_DETALHE!$I$28:$I$32))," ")</f>
        <v xml:space="preserve"> </v>
      </c>
      <c r="U79" s="10"/>
    </row>
    <row r="80" spans="1:21" s="16" customFormat="1" ht="21.95" customHeight="1" x14ac:dyDescent="0.25">
      <c r="A80" s="33" t="str">
        <f t="shared" si="20"/>
        <v>N</v>
      </c>
      <c r="B80" s="17" t="str">
        <f t="shared" si="15"/>
        <v/>
      </c>
      <c r="C80" s="53"/>
      <c r="D80" s="54"/>
      <c r="E80" s="55"/>
      <c r="F80" s="56"/>
      <c r="G80" s="57"/>
      <c r="H80" s="57"/>
      <c r="I80" s="59"/>
      <c r="J80" s="60"/>
      <c r="K80" s="10"/>
      <c r="L80" s="25" t="str">
        <f t="shared" si="12"/>
        <v xml:space="preserve">                              </v>
      </c>
      <c r="M80" s="27" t="str">
        <f t="shared" si="21"/>
        <v/>
      </c>
      <c r="N80" s="27" t="str">
        <f t="shared" si="22"/>
        <v>000000000000000</v>
      </c>
      <c r="O80" s="20" t="str">
        <f t="shared" si="16"/>
        <v>000</v>
      </c>
      <c r="P80" s="20" t="str">
        <f t="shared" si="17"/>
        <v>00000</v>
      </c>
      <c r="Q80" s="26" t="str">
        <f t="shared" si="18"/>
        <v xml:space="preserve"> 000000000000</v>
      </c>
      <c r="R80" s="20" t="str">
        <f t="shared" si="19"/>
        <v xml:space="preserve"> </v>
      </c>
      <c r="S80" s="10"/>
      <c r="T80" s="36" t="str">
        <f>IF($A80="S",(_xlfn.CONCAT(
REGISTRO_DETALHE!$I$4:$I$6,
TED!$B80,
REGISTRO_DETALHE!$I$8:$I$10,
TED!$O80:$R80,
TED!$L80,
REGISTRO_DETALHE!$I$14:$I$19,
TED!$N80,
REGISTRO_DETALHE!$I$21:$I$23,
TED!$N80,
REGISTRO_DETALHE!$I$25:$I$26,
TED!$M80,
REGISTRO_DETALHE!$I$28:$I$32))," ")</f>
        <v xml:space="preserve"> </v>
      </c>
      <c r="U80" s="10"/>
    </row>
    <row r="81" spans="1:21" s="16" customFormat="1" ht="21.95" customHeight="1" x14ac:dyDescent="0.25">
      <c r="A81" s="33" t="str">
        <f t="shared" si="20"/>
        <v>N</v>
      </c>
      <c r="B81" s="17" t="str">
        <f t="shared" si="15"/>
        <v/>
      </c>
      <c r="C81" s="53"/>
      <c r="D81" s="54"/>
      <c r="E81" s="55"/>
      <c r="F81" s="56"/>
      <c r="G81" s="57"/>
      <c r="H81" s="57"/>
      <c r="I81" s="59"/>
      <c r="J81" s="60"/>
      <c r="K81" s="10"/>
      <c r="L81" s="25" t="str">
        <f t="shared" si="12"/>
        <v xml:space="preserve">                              </v>
      </c>
      <c r="M81" s="27" t="str">
        <f t="shared" si="21"/>
        <v/>
      </c>
      <c r="N81" s="27" t="str">
        <f t="shared" si="22"/>
        <v>000000000000000</v>
      </c>
      <c r="O81" s="20" t="str">
        <f t="shared" si="16"/>
        <v>000</v>
      </c>
      <c r="P81" s="20" t="str">
        <f t="shared" si="17"/>
        <v>00000</v>
      </c>
      <c r="Q81" s="26" t="str">
        <f t="shared" si="18"/>
        <v xml:space="preserve"> 000000000000</v>
      </c>
      <c r="R81" s="20" t="str">
        <f t="shared" si="19"/>
        <v xml:space="preserve"> </v>
      </c>
      <c r="S81" s="10"/>
      <c r="T81" s="36" t="str">
        <f>IF($A81="S",(_xlfn.CONCAT(
REGISTRO_DETALHE!$I$4:$I$6,
TED!$B81,
REGISTRO_DETALHE!$I$8:$I$10,
TED!$O81:$R81,
TED!$L81,
REGISTRO_DETALHE!$I$14:$I$19,
TED!$N81,
REGISTRO_DETALHE!$I$21:$I$23,
TED!$N81,
REGISTRO_DETALHE!$I$25:$I$26,
TED!$M81,
REGISTRO_DETALHE!$I$28:$I$32))," ")</f>
        <v xml:space="preserve"> </v>
      </c>
      <c r="U81" s="10"/>
    </row>
    <row r="82" spans="1:21" s="16" customFormat="1" ht="21.95" customHeight="1" x14ac:dyDescent="0.25">
      <c r="A82" s="33" t="str">
        <f t="shared" si="20"/>
        <v>N</v>
      </c>
      <c r="B82" s="17" t="str">
        <f t="shared" si="15"/>
        <v/>
      </c>
      <c r="C82" s="53"/>
      <c r="D82" s="54"/>
      <c r="E82" s="55"/>
      <c r="F82" s="56"/>
      <c r="G82" s="57"/>
      <c r="H82" s="57"/>
      <c r="I82" s="59"/>
      <c r="J82" s="60"/>
      <c r="K82" s="10"/>
      <c r="L82" s="25" t="str">
        <f t="shared" si="12"/>
        <v xml:space="preserve">                              </v>
      </c>
      <c r="M82" s="27" t="str">
        <f t="shared" si="21"/>
        <v/>
      </c>
      <c r="N82" s="27" t="str">
        <f t="shared" si="22"/>
        <v>000000000000000</v>
      </c>
      <c r="O82" s="20" t="str">
        <f t="shared" si="16"/>
        <v>000</v>
      </c>
      <c r="P82" s="20" t="str">
        <f t="shared" si="17"/>
        <v>00000</v>
      </c>
      <c r="Q82" s="26" t="str">
        <f t="shared" si="18"/>
        <v xml:space="preserve"> 000000000000</v>
      </c>
      <c r="R82" s="20" t="str">
        <f t="shared" si="19"/>
        <v xml:space="preserve"> </v>
      </c>
      <c r="S82" s="10"/>
      <c r="T82" s="36" t="str">
        <f>IF($A82="S",(_xlfn.CONCAT(
REGISTRO_DETALHE!$I$4:$I$6,
TED!$B82,
REGISTRO_DETALHE!$I$8:$I$10,
TED!$O82:$R82,
TED!$L82,
REGISTRO_DETALHE!$I$14:$I$19,
TED!$N82,
REGISTRO_DETALHE!$I$21:$I$23,
TED!$N82,
REGISTRO_DETALHE!$I$25:$I$26,
TED!$M82,
REGISTRO_DETALHE!$I$28:$I$32))," ")</f>
        <v xml:space="preserve"> </v>
      </c>
      <c r="U82" s="10"/>
    </row>
    <row r="83" spans="1:21" s="16" customFormat="1" ht="21.95" customHeight="1" x14ac:dyDescent="0.25">
      <c r="A83" s="33" t="str">
        <f t="shared" si="20"/>
        <v>N</v>
      </c>
      <c r="B83" s="17" t="str">
        <f t="shared" si="15"/>
        <v/>
      </c>
      <c r="C83" s="53"/>
      <c r="D83" s="54"/>
      <c r="E83" s="55"/>
      <c r="F83" s="56"/>
      <c r="G83" s="57"/>
      <c r="H83" s="57"/>
      <c r="I83" s="59"/>
      <c r="J83" s="60"/>
      <c r="K83" s="10"/>
      <c r="L83" s="25" t="str">
        <f t="shared" ref="L83:L106" si="23">IF(LEN(C83)&lt;30,
_xlfn.CONCAT((C83),REPT(" ",(30-(LEN(C83))))),
(LEFT(C83,30)))</f>
        <v xml:space="preserve">                              </v>
      </c>
      <c r="M83" s="27" t="str">
        <f t="shared" si="21"/>
        <v/>
      </c>
      <c r="N83" s="27" t="str">
        <f t="shared" si="22"/>
        <v>000000000000000</v>
      </c>
      <c r="O83" s="20" t="str">
        <f t="shared" si="16"/>
        <v>000</v>
      </c>
      <c r="P83" s="20" t="str">
        <f t="shared" si="17"/>
        <v>00000</v>
      </c>
      <c r="Q83" s="26" t="str">
        <f t="shared" si="18"/>
        <v xml:space="preserve"> 000000000000</v>
      </c>
      <c r="R83" s="20" t="str">
        <f t="shared" si="19"/>
        <v xml:space="preserve"> </v>
      </c>
      <c r="S83" s="10"/>
      <c r="T83" s="36" t="str">
        <f>IF($A83="S",(_xlfn.CONCAT(
REGISTRO_DETALHE!$I$4:$I$6,
TED!$B83,
REGISTRO_DETALHE!$I$8:$I$10,
TED!$O83:$R83,
TED!$L83,
REGISTRO_DETALHE!$I$14:$I$19,
TED!$N83,
REGISTRO_DETALHE!$I$21:$I$23,
TED!$N83,
REGISTRO_DETALHE!$I$25:$I$26,
TED!$M83,
REGISTRO_DETALHE!$I$28:$I$32))," ")</f>
        <v xml:space="preserve"> </v>
      </c>
      <c r="U83" s="10"/>
    </row>
    <row r="84" spans="1:21" s="16" customFormat="1" ht="21.95" customHeight="1" x14ac:dyDescent="0.25">
      <c r="A84" s="33" t="str">
        <f t="shared" si="20"/>
        <v>N</v>
      </c>
      <c r="B84" s="17" t="str">
        <f t="shared" si="15"/>
        <v/>
      </c>
      <c r="C84" s="53"/>
      <c r="D84" s="54"/>
      <c r="E84" s="55"/>
      <c r="F84" s="56"/>
      <c r="G84" s="57"/>
      <c r="H84" s="57"/>
      <c r="I84" s="59"/>
      <c r="J84" s="60"/>
      <c r="K84" s="10"/>
      <c r="L84" s="25" t="str">
        <f t="shared" si="23"/>
        <v xml:space="preserve">                              </v>
      </c>
      <c r="M84" s="27" t="str">
        <f t="shared" si="21"/>
        <v/>
      </c>
      <c r="N84" s="27" t="str">
        <f t="shared" si="22"/>
        <v>000000000000000</v>
      </c>
      <c r="O84" s="20" t="str">
        <f t="shared" si="16"/>
        <v>000</v>
      </c>
      <c r="P84" s="20" t="str">
        <f t="shared" si="17"/>
        <v>00000</v>
      </c>
      <c r="Q84" s="26" t="str">
        <f t="shared" si="18"/>
        <v xml:space="preserve"> 000000000000</v>
      </c>
      <c r="R84" s="20" t="str">
        <f t="shared" si="19"/>
        <v xml:space="preserve"> </v>
      </c>
      <c r="S84" s="10"/>
      <c r="T84" s="36" t="str">
        <f>IF($A84="S",(_xlfn.CONCAT(
REGISTRO_DETALHE!$I$4:$I$6,
TED!$B84,
REGISTRO_DETALHE!$I$8:$I$10,
TED!$O84:$R84,
TED!$L84,
REGISTRO_DETALHE!$I$14:$I$19,
TED!$N84,
REGISTRO_DETALHE!$I$21:$I$23,
TED!$N84,
REGISTRO_DETALHE!$I$25:$I$26,
TED!$M84,
REGISTRO_DETALHE!$I$28:$I$32))," ")</f>
        <v xml:space="preserve"> </v>
      </c>
      <c r="U84" s="10"/>
    </row>
    <row r="85" spans="1:21" s="16" customFormat="1" ht="21.95" customHeight="1" x14ac:dyDescent="0.25">
      <c r="A85" s="33" t="str">
        <f t="shared" si="20"/>
        <v>N</v>
      </c>
      <c r="B85" s="17" t="str">
        <f t="shared" si="15"/>
        <v/>
      </c>
      <c r="C85" s="53"/>
      <c r="D85" s="54"/>
      <c r="E85" s="55"/>
      <c r="F85" s="56"/>
      <c r="G85" s="57"/>
      <c r="H85" s="57"/>
      <c r="I85" s="59"/>
      <c r="J85" s="60"/>
      <c r="K85" s="10"/>
      <c r="L85" s="25" t="str">
        <f t="shared" si="23"/>
        <v xml:space="preserve">                              </v>
      </c>
      <c r="M85" s="27" t="str">
        <f t="shared" si="21"/>
        <v/>
      </c>
      <c r="N85" s="27" t="str">
        <f t="shared" si="22"/>
        <v>000000000000000</v>
      </c>
      <c r="O85" s="20" t="str">
        <f t="shared" si="16"/>
        <v>000</v>
      </c>
      <c r="P85" s="20" t="str">
        <f t="shared" si="17"/>
        <v>00000</v>
      </c>
      <c r="Q85" s="26" t="str">
        <f t="shared" si="18"/>
        <v xml:space="preserve"> 000000000000</v>
      </c>
      <c r="R85" s="20" t="str">
        <f t="shared" si="19"/>
        <v xml:space="preserve"> </v>
      </c>
      <c r="S85" s="10"/>
      <c r="T85" s="36" t="str">
        <f>IF($A85="S",(_xlfn.CONCAT(
REGISTRO_DETALHE!$I$4:$I$6,
TED!$B85,
REGISTRO_DETALHE!$I$8:$I$10,
TED!$O85:$R85,
TED!$L85,
REGISTRO_DETALHE!$I$14:$I$19,
TED!$N85,
REGISTRO_DETALHE!$I$21:$I$23,
TED!$N85,
REGISTRO_DETALHE!$I$25:$I$26,
TED!$M85,
REGISTRO_DETALHE!$I$28:$I$32))," ")</f>
        <v xml:space="preserve"> </v>
      </c>
      <c r="U85" s="10"/>
    </row>
    <row r="86" spans="1:21" s="16" customFormat="1" ht="21.95" customHeight="1" x14ac:dyDescent="0.25">
      <c r="A86" s="33" t="str">
        <f t="shared" si="20"/>
        <v>N</v>
      </c>
      <c r="B86" s="17" t="str">
        <f t="shared" si="15"/>
        <v/>
      </c>
      <c r="C86" s="53"/>
      <c r="D86" s="54"/>
      <c r="E86" s="55"/>
      <c r="F86" s="56"/>
      <c r="G86" s="57"/>
      <c r="H86" s="57"/>
      <c r="I86" s="59"/>
      <c r="J86" s="60"/>
      <c r="K86" s="10"/>
      <c r="L86" s="25" t="str">
        <f t="shared" si="23"/>
        <v xml:space="preserve">                              </v>
      </c>
      <c r="M86" s="27" t="str">
        <f t="shared" si="21"/>
        <v/>
      </c>
      <c r="N86" s="27" t="str">
        <f t="shared" si="22"/>
        <v>000000000000000</v>
      </c>
      <c r="O86" s="20" t="str">
        <f t="shared" si="16"/>
        <v>000</v>
      </c>
      <c r="P86" s="20" t="str">
        <f t="shared" si="17"/>
        <v>00000</v>
      </c>
      <c r="Q86" s="26" t="str">
        <f t="shared" si="18"/>
        <v xml:space="preserve"> 000000000000</v>
      </c>
      <c r="R86" s="20" t="str">
        <f t="shared" si="19"/>
        <v xml:space="preserve"> </v>
      </c>
      <c r="S86" s="10"/>
      <c r="T86" s="36" t="str">
        <f>IF($A86="S",(_xlfn.CONCAT(
REGISTRO_DETALHE!$I$4:$I$6,
TED!$B86,
REGISTRO_DETALHE!$I$8:$I$10,
TED!$O86:$R86,
TED!$L86,
REGISTRO_DETALHE!$I$14:$I$19,
TED!$N86,
REGISTRO_DETALHE!$I$21:$I$23,
TED!$N86,
REGISTRO_DETALHE!$I$25:$I$26,
TED!$M86,
REGISTRO_DETALHE!$I$28:$I$32))," ")</f>
        <v xml:space="preserve"> </v>
      </c>
      <c r="U86" s="10"/>
    </row>
    <row r="87" spans="1:21" s="16" customFormat="1" ht="21.95" customHeight="1" x14ac:dyDescent="0.25">
      <c r="A87" s="33" t="str">
        <f t="shared" si="20"/>
        <v>N</v>
      </c>
      <c r="B87" s="17" t="str">
        <f t="shared" si="15"/>
        <v/>
      </c>
      <c r="C87" s="53"/>
      <c r="D87" s="54"/>
      <c r="E87" s="55"/>
      <c r="F87" s="56"/>
      <c r="G87" s="57"/>
      <c r="H87" s="57"/>
      <c r="I87" s="59"/>
      <c r="J87" s="60"/>
      <c r="K87" s="10"/>
      <c r="L87" s="25" t="str">
        <f t="shared" si="23"/>
        <v xml:space="preserve">                              </v>
      </c>
      <c r="M87" s="27" t="str">
        <f t="shared" si="21"/>
        <v/>
      </c>
      <c r="N87" s="27" t="str">
        <f t="shared" si="22"/>
        <v>000000000000000</v>
      </c>
      <c r="O87" s="20" t="str">
        <f t="shared" si="16"/>
        <v>000</v>
      </c>
      <c r="P87" s="20" t="str">
        <f t="shared" si="17"/>
        <v>00000</v>
      </c>
      <c r="Q87" s="26" t="str">
        <f t="shared" si="18"/>
        <v xml:space="preserve"> 000000000000</v>
      </c>
      <c r="R87" s="20" t="str">
        <f t="shared" si="19"/>
        <v xml:space="preserve"> </v>
      </c>
      <c r="S87" s="10"/>
      <c r="T87" s="36" t="str">
        <f>IF($A87="S",(_xlfn.CONCAT(
REGISTRO_DETALHE!$I$4:$I$6,
TED!$B87,
REGISTRO_DETALHE!$I$8:$I$10,
TED!$O87:$R87,
TED!$L87,
REGISTRO_DETALHE!$I$14:$I$19,
TED!$N87,
REGISTRO_DETALHE!$I$21:$I$23,
TED!$N87,
REGISTRO_DETALHE!$I$25:$I$26,
TED!$M87,
REGISTRO_DETALHE!$I$28:$I$32))," ")</f>
        <v xml:space="preserve"> </v>
      </c>
      <c r="U87" s="10"/>
    </row>
    <row r="88" spans="1:21" s="16" customFormat="1" ht="21.95" customHeight="1" x14ac:dyDescent="0.25">
      <c r="A88" s="33" t="str">
        <f t="shared" si="20"/>
        <v>N</v>
      </c>
      <c r="B88" s="17" t="str">
        <f t="shared" si="15"/>
        <v/>
      </c>
      <c r="C88" s="53"/>
      <c r="D88" s="54"/>
      <c r="E88" s="55"/>
      <c r="F88" s="56"/>
      <c r="G88" s="57"/>
      <c r="H88" s="57"/>
      <c r="I88" s="59"/>
      <c r="J88" s="60"/>
      <c r="K88" s="10"/>
      <c r="L88" s="25" t="str">
        <f t="shared" si="23"/>
        <v xml:space="preserve">                              </v>
      </c>
      <c r="M88" s="27" t="str">
        <f t="shared" si="21"/>
        <v/>
      </c>
      <c r="N88" s="27" t="str">
        <f t="shared" si="22"/>
        <v>000000000000000</v>
      </c>
      <c r="O88" s="20" t="str">
        <f t="shared" si="16"/>
        <v>000</v>
      </c>
      <c r="P88" s="20" t="str">
        <f t="shared" si="17"/>
        <v>00000</v>
      </c>
      <c r="Q88" s="26" t="str">
        <f t="shared" si="18"/>
        <v xml:space="preserve"> 000000000000</v>
      </c>
      <c r="R88" s="20" t="str">
        <f t="shared" si="19"/>
        <v xml:space="preserve"> </v>
      </c>
      <c r="S88" s="10"/>
      <c r="T88" s="36" t="str">
        <f>IF($A88="S",(_xlfn.CONCAT(
REGISTRO_DETALHE!$I$4:$I$6,
TED!$B88,
REGISTRO_DETALHE!$I$8:$I$10,
TED!$O88:$R88,
TED!$L88,
REGISTRO_DETALHE!$I$14:$I$19,
TED!$N88,
REGISTRO_DETALHE!$I$21:$I$23,
TED!$N88,
REGISTRO_DETALHE!$I$25:$I$26,
TED!$M88,
REGISTRO_DETALHE!$I$28:$I$32))," ")</f>
        <v xml:space="preserve"> </v>
      </c>
      <c r="U88" s="10"/>
    </row>
    <row r="89" spans="1:21" s="16" customFormat="1" ht="21.95" customHeight="1" x14ac:dyDescent="0.25">
      <c r="A89" s="33" t="str">
        <f t="shared" si="20"/>
        <v>N</v>
      </c>
      <c r="B89" s="17" t="str">
        <f t="shared" si="15"/>
        <v/>
      </c>
      <c r="C89" s="53"/>
      <c r="D89" s="54"/>
      <c r="E89" s="55"/>
      <c r="F89" s="56"/>
      <c r="G89" s="57"/>
      <c r="H89" s="57"/>
      <c r="I89" s="59"/>
      <c r="J89" s="60"/>
      <c r="K89" s="10"/>
      <c r="L89" s="25" t="str">
        <f t="shared" si="23"/>
        <v xml:space="preserve">                              </v>
      </c>
      <c r="M89" s="27" t="str">
        <f t="shared" si="21"/>
        <v/>
      </c>
      <c r="N89" s="27" t="str">
        <f t="shared" si="22"/>
        <v>000000000000000</v>
      </c>
      <c r="O89" s="20" t="str">
        <f t="shared" si="16"/>
        <v>000</v>
      </c>
      <c r="P89" s="20" t="str">
        <f t="shared" si="17"/>
        <v>00000</v>
      </c>
      <c r="Q89" s="26" t="str">
        <f t="shared" si="18"/>
        <v xml:space="preserve"> 000000000000</v>
      </c>
      <c r="R89" s="20" t="str">
        <f t="shared" si="19"/>
        <v xml:space="preserve"> </v>
      </c>
      <c r="S89" s="10"/>
      <c r="T89" s="36" t="str">
        <f>IF($A89="S",(_xlfn.CONCAT(
REGISTRO_DETALHE!$I$4:$I$6,
TED!$B89,
REGISTRO_DETALHE!$I$8:$I$10,
TED!$O89:$R89,
TED!$L89,
REGISTRO_DETALHE!$I$14:$I$19,
TED!$N89,
REGISTRO_DETALHE!$I$21:$I$23,
TED!$N89,
REGISTRO_DETALHE!$I$25:$I$26,
TED!$M89,
REGISTRO_DETALHE!$I$28:$I$32))," ")</f>
        <v xml:space="preserve"> </v>
      </c>
      <c r="U89" s="10"/>
    </row>
    <row r="90" spans="1:21" s="16" customFormat="1" ht="21.95" customHeight="1" x14ac:dyDescent="0.25">
      <c r="A90" s="33" t="str">
        <f t="shared" si="20"/>
        <v>N</v>
      </c>
      <c r="B90" s="17" t="str">
        <f t="shared" si="15"/>
        <v/>
      </c>
      <c r="C90" s="53"/>
      <c r="D90" s="54"/>
      <c r="E90" s="55"/>
      <c r="F90" s="56"/>
      <c r="G90" s="57"/>
      <c r="H90" s="57"/>
      <c r="I90" s="59"/>
      <c r="J90" s="60"/>
      <c r="K90" s="10"/>
      <c r="L90" s="25" t="str">
        <f t="shared" si="23"/>
        <v xml:space="preserve">                              </v>
      </c>
      <c r="M90" s="27" t="str">
        <f t="shared" si="21"/>
        <v/>
      </c>
      <c r="N90" s="27" t="str">
        <f t="shared" si="22"/>
        <v>000000000000000</v>
      </c>
      <c r="O90" s="20" t="str">
        <f t="shared" si="16"/>
        <v>000</v>
      </c>
      <c r="P90" s="20" t="str">
        <f t="shared" si="17"/>
        <v>00000</v>
      </c>
      <c r="Q90" s="26" t="str">
        <f t="shared" si="18"/>
        <v xml:space="preserve"> 000000000000</v>
      </c>
      <c r="R90" s="20" t="str">
        <f t="shared" si="19"/>
        <v xml:space="preserve"> </v>
      </c>
      <c r="S90" s="10"/>
      <c r="T90" s="36" t="str">
        <f>IF($A90="S",(_xlfn.CONCAT(
REGISTRO_DETALHE!$I$4:$I$6,
TED!$B90,
REGISTRO_DETALHE!$I$8:$I$10,
TED!$O90:$R90,
TED!$L90,
REGISTRO_DETALHE!$I$14:$I$19,
TED!$N90,
REGISTRO_DETALHE!$I$21:$I$23,
TED!$N90,
REGISTRO_DETALHE!$I$25:$I$26,
TED!$M90,
REGISTRO_DETALHE!$I$28:$I$32))," ")</f>
        <v xml:space="preserve"> </v>
      </c>
      <c r="U90" s="10"/>
    </row>
    <row r="91" spans="1:21" s="16" customFormat="1" ht="21.95" customHeight="1" x14ac:dyDescent="0.25">
      <c r="A91" s="33" t="str">
        <f t="shared" si="20"/>
        <v>N</v>
      </c>
      <c r="B91" s="17" t="str">
        <f t="shared" si="15"/>
        <v/>
      </c>
      <c r="C91" s="53"/>
      <c r="D91" s="54"/>
      <c r="E91" s="55"/>
      <c r="F91" s="56"/>
      <c r="G91" s="57"/>
      <c r="H91" s="57"/>
      <c r="I91" s="59"/>
      <c r="J91" s="60"/>
      <c r="K91" s="10"/>
      <c r="L91" s="25" t="str">
        <f t="shared" si="23"/>
        <v xml:space="preserve">                              </v>
      </c>
      <c r="M91" s="27" t="str">
        <f t="shared" si="21"/>
        <v/>
      </c>
      <c r="N91" s="27" t="str">
        <f t="shared" si="22"/>
        <v>000000000000000</v>
      </c>
      <c r="O91" s="20" t="str">
        <f t="shared" si="16"/>
        <v>000</v>
      </c>
      <c r="P91" s="20" t="str">
        <f t="shared" si="17"/>
        <v>00000</v>
      </c>
      <c r="Q91" s="26" t="str">
        <f t="shared" si="18"/>
        <v xml:space="preserve"> 000000000000</v>
      </c>
      <c r="R91" s="20" t="str">
        <f t="shared" si="19"/>
        <v xml:space="preserve"> </v>
      </c>
      <c r="S91" s="10"/>
      <c r="T91" s="36" t="str">
        <f>IF($A91="S",(_xlfn.CONCAT(
REGISTRO_DETALHE!$I$4:$I$6,
TED!$B91,
REGISTRO_DETALHE!$I$8:$I$10,
TED!$O91:$R91,
TED!$L91,
REGISTRO_DETALHE!$I$14:$I$19,
TED!$N91,
REGISTRO_DETALHE!$I$21:$I$23,
TED!$N91,
REGISTRO_DETALHE!$I$25:$I$26,
TED!$M91,
REGISTRO_DETALHE!$I$28:$I$32))," ")</f>
        <v xml:space="preserve"> </v>
      </c>
      <c r="U91" s="10"/>
    </row>
    <row r="92" spans="1:21" s="16" customFormat="1" ht="21.95" customHeight="1" x14ac:dyDescent="0.25">
      <c r="A92" s="33" t="str">
        <f t="shared" si="20"/>
        <v>N</v>
      </c>
      <c r="B92" s="17" t="str">
        <f t="shared" si="15"/>
        <v/>
      </c>
      <c r="C92" s="53"/>
      <c r="D92" s="54"/>
      <c r="E92" s="55"/>
      <c r="F92" s="56"/>
      <c r="G92" s="57"/>
      <c r="H92" s="57"/>
      <c r="I92" s="59"/>
      <c r="J92" s="60"/>
      <c r="K92" s="10"/>
      <c r="L92" s="25" t="str">
        <f t="shared" si="23"/>
        <v xml:space="preserve">                              </v>
      </c>
      <c r="M92" s="27" t="str">
        <f t="shared" si="21"/>
        <v/>
      </c>
      <c r="N92" s="27" t="str">
        <f t="shared" si="22"/>
        <v>000000000000000</v>
      </c>
      <c r="O92" s="20" t="str">
        <f t="shared" si="16"/>
        <v>000</v>
      </c>
      <c r="P92" s="20" t="str">
        <f t="shared" si="17"/>
        <v>00000</v>
      </c>
      <c r="Q92" s="26" t="str">
        <f t="shared" si="18"/>
        <v xml:space="preserve"> 000000000000</v>
      </c>
      <c r="R92" s="20" t="str">
        <f t="shared" si="19"/>
        <v xml:space="preserve"> </v>
      </c>
      <c r="S92" s="10"/>
      <c r="T92" s="36" t="str">
        <f>IF($A92="S",(_xlfn.CONCAT(
REGISTRO_DETALHE!$I$4:$I$6,
TED!$B92,
REGISTRO_DETALHE!$I$8:$I$10,
TED!$O92:$R92,
TED!$L92,
REGISTRO_DETALHE!$I$14:$I$19,
TED!$N92,
REGISTRO_DETALHE!$I$21:$I$23,
TED!$N92,
REGISTRO_DETALHE!$I$25:$I$26,
TED!$M92,
REGISTRO_DETALHE!$I$28:$I$32))," ")</f>
        <v xml:space="preserve"> </v>
      </c>
      <c r="U92" s="10"/>
    </row>
    <row r="93" spans="1:21" s="16" customFormat="1" ht="21.95" customHeight="1" x14ac:dyDescent="0.25">
      <c r="A93" s="33" t="str">
        <f t="shared" si="20"/>
        <v>N</v>
      </c>
      <c r="B93" s="17" t="str">
        <f t="shared" si="15"/>
        <v/>
      </c>
      <c r="C93" s="53"/>
      <c r="D93" s="54"/>
      <c r="E93" s="55"/>
      <c r="F93" s="56"/>
      <c r="G93" s="57"/>
      <c r="H93" s="57"/>
      <c r="I93" s="59"/>
      <c r="J93" s="60"/>
      <c r="K93" s="10"/>
      <c r="L93" s="25" t="str">
        <f t="shared" si="23"/>
        <v xml:space="preserve">                              </v>
      </c>
      <c r="M93" s="27" t="str">
        <f t="shared" si="21"/>
        <v/>
      </c>
      <c r="N93" s="27" t="str">
        <f t="shared" si="22"/>
        <v>000000000000000</v>
      </c>
      <c r="O93" s="20" t="str">
        <f t="shared" si="16"/>
        <v>000</v>
      </c>
      <c r="P93" s="20" t="str">
        <f t="shared" si="17"/>
        <v>00000</v>
      </c>
      <c r="Q93" s="26" t="str">
        <f t="shared" si="18"/>
        <v xml:space="preserve"> 000000000000</v>
      </c>
      <c r="R93" s="20" t="str">
        <f t="shared" si="19"/>
        <v xml:space="preserve"> </v>
      </c>
      <c r="S93" s="10"/>
      <c r="T93" s="36" t="str">
        <f>IF($A93="S",(_xlfn.CONCAT(
REGISTRO_DETALHE!$I$4:$I$6,
TED!$B93,
REGISTRO_DETALHE!$I$8:$I$10,
TED!$O93:$R93,
TED!$L93,
REGISTRO_DETALHE!$I$14:$I$19,
TED!$N93,
REGISTRO_DETALHE!$I$21:$I$23,
TED!$N93,
REGISTRO_DETALHE!$I$25:$I$26,
TED!$M93,
REGISTRO_DETALHE!$I$28:$I$32))," ")</f>
        <v xml:space="preserve"> </v>
      </c>
      <c r="U93" s="10"/>
    </row>
    <row r="94" spans="1:21" s="16" customFormat="1" ht="21.95" customHeight="1" x14ac:dyDescent="0.25">
      <c r="A94" s="33" t="str">
        <f t="shared" si="20"/>
        <v>N</v>
      </c>
      <c r="B94" s="17" t="str">
        <f t="shared" si="15"/>
        <v/>
      </c>
      <c r="C94" s="53"/>
      <c r="D94" s="54"/>
      <c r="E94" s="55"/>
      <c r="F94" s="56"/>
      <c r="G94" s="57"/>
      <c r="H94" s="57"/>
      <c r="I94" s="59"/>
      <c r="J94" s="60"/>
      <c r="K94" s="10"/>
      <c r="L94" s="25" t="str">
        <f t="shared" si="23"/>
        <v xml:space="preserve">                              </v>
      </c>
      <c r="M94" s="27" t="str">
        <f t="shared" si="21"/>
        <v/>
      </c>
      <c r="N94" s="27" t="str">
        <f t="shared" si="22"/>
        <v>000000000000000</v>
      </c>
      <c r="O94" s="20" t="str">
        <f t="shared" si="16"/>
        <v>000</v>
      </c>
      <c r="P94" s="20" t="str">
        <f t="shared" si="17"/>
        <v>00000</v>
      </c>
      <c r="Q94" s="26" t="str">
        <f t="shared" si="18"/>
        <v xml:space="preserve"> 000000000000</v>
      </c>
      <c r="R94" s="20" t="str">
        <f t="shared" si="19"/>
        <v xml:space="preserve"> </v>
      </c>
      <c r="S94" s="10"/>
      <c r="T94" s="36" t="str">
        <f>IF($A94="S",(_xlfn.CONCAT(
REGISTRO_DETALHE!$I$4:$I$6,
TED!$B94,
REGISTRO_DETALHE!$I$8:$I$10,
TED!$O94:$R94,
TED!$L94,
REGISTRO_DETALHE!$I$14:$I$19,
TED!$N94,
REGISTRO_DETALHE!$I$21:$I$23,
TED!$N94,
REGISTRO_DETALHE!$I$25:$I$26,
TED!$M94,
REGISTRO_DETALHE!$I$28:$I$32))," ")</f>
        <v xml:space="preserve"> </v>
      </c>
      <c r="U94" s="10"/>
    </row>
    <row r="95" spans="1:21" s="16" customFormat="1" ht="21.95" customHeight="1" x14ac:dyDescent="0.25">
      <c r="A95" s="33" t="str">
        <f t="shared" si="20"/>
        <v>N</v>
      </c>
      <c r="B95" s="17" t="str">
        <f t="shared" si="15"/>
        <v/>
      </c>
      <c r="C95" s="53"/>
      <c r="D95" s="54"/>
      <c r="E95" s="55"/>
      <c r="F95" s="56"/>
      <c r="G95" s="57"/>
      <c r="H95" s="57"/>
      <c r="I95" s="59"/>
      <c r="J95" s="60"/>
      <c r="K95" s="10"/>
      <c r="L95" s="25" t="str">
        <f t="shared" si="23"/>
        <v xml:space="preserve">                              </v>
      </c>
      <c r="M95" s="27" t="str">
        <f t="shared" si="21"/>
        <v/>
      </c>
      <c r="N95" s="27" t="str">
        <f t="shared" si="22"/>
        <v>000000000000000</v>
      </c>
      <c r="O95" s="20" t="str">
        <f t="shared" si="16"/>
        <v>000</v>
      </c>
      <c r="P95" s="20" t="str">
        <f t="shared" si="17"/>
        <v>00000</v>
      </c>
      <c r="Q95" s="26" t="str">
        <f t="shared" si="18"/>
        <v xml:space="preserve"> 000000000000</v>
      </c>
      <c r="R95" s="20" t="str">
        <f t="shared" si="19"/>
        <v xml:space="preserve"> </v>
      </c>
      <c r="S95" s="10"/>
      <c r="T95" s="36" t="str">
        <f>IF($A95="S",(_xlfn.CONCAT(
REGISTRO_DETALHE!$I$4:$I$6,
TED!$B95,
REGISTRO_DETALHE!$I$8:$I$10,
TED!$O95:$R95,
TED!$L95,
REGISTRO_DETALHE!$I$14:$I$19,
TED!$N95,
REGISTRO_DETALHE!$I$21:$I$23,
TED!$N95,
REGISTRO_DETALHE!$I$25:$I$26,
TED!$M95,
REGISTRO_DETALHE!$I$28:$I$32))," ")</f>
        <v xml:space="preserve"> </v>
      </c>
      <c r="U95" s="10"/>
    </row>
    <row r="96" spans="1:21" s="16" customFormat="1" ht="21.95" customHeight="1" x14ac:dyDescent="0.25">
      <c r="A96" s="33" t="str">
        <f t="shared" si="20"/>
        <v>N</v>
      </c>
      <c r="B96" s="17" t="str">
        <f t="shared" si="15"/>
        <v/>
      </c>
      <c r="C96" s="53"/>
      <c r="D96" s="54"/>
      <c r="E96" s="55"/>
      <c r="F96" s="56"/>
      <c r="G96" s="57"/>
      <c r="H96" s="57"/>
      <c r="I96" s="59"/>
      <c r="J96" s="60"/>
      <c r="K96" s="10"/>
      <c r="L96" s="25" t="str">
        <f t="shared" si="23"/>
        <v xml:space="preserve">                              </v>
      </c>
      <c r="M96" s="27" t="str">
        <f t="shared" si="21"/>
        <v/>
      </c>
      <c r="N96" s="27" t="str">
        <f t="shared" si="22"/>
        <v>000000000000000</v>
      </c>
      <c r="O96" s="20" t="str">
        <f t="shared" si="16"/>
        <v>000</v>
      </c>
      <c r="P96" s="20" t="str">
        <f t="shared" si="17"/>
        <v>00000</v>
      </c>
      <c r="Q96" s="26" t="str">
        <f t="shared" si="18"/>
        <v xml:space="preserve"> 000000000000</v>
      </c>
      <c r="R96" s="20" t="str">
        <f t="shared" si="19"/>
        <v xml:space="preserve"> </v>
      </c>
      <c r="S96" s="10"/>
      <c r="T96" s="36" t="str">
        <f>IF($A96="S",(_xlfn.CONCAT(
REGISTRO_DETALHE!$I$4:$I$6,
TED!$B96,
REGISTRO_DETALHE!$I$8:$I$10,
TED!$O96:$R96,
TED!$L96,
REGISTRO_DETALHE!$I$14:$I$19,
TED!$N96,
REGISTRO_DETALHE!$I$21:$I$23,
TED!$N96,
REGISTRO_DETALHE!$I$25:$I$26,
TED!$M96,
REGISTRO_DETALHE!$I$28:$I$32))," ")</f>
        <v xml:space="preserve"> </v>
      </c>
      <c r="U96" s="10"/>
    </row>
    <row r="97" spans="1:22" s="16" customFormat="1" ht="21.95" customHeight="1" x14ac:dyDescent="0.25">
      <c r="A97" s="33" t="str">
        <f t="shared" si="20"/>
        <v>N</v>
      </c>
      <c r="B97" s="17" t="str">
        <f t="shared" si="15"/>
        <v/>
      </c>
      <c r="C97" s="53"/>
      <c r="D97" s="54"/>
      <c r="E97" s="55"/>
      <c r="F97" s="56"/>
      <c r="G97" s="57"/>
      <c r="H97" s="57"/>
      <c r="I97" s="59"/>
      <c r="J97" s="60"/>
      <c r="K97" s="10"/>
      <c r="L97" s="25" t="str">
        <f t="shared" si="23"/>
        <v xml:space="preserve">                              </v>
      </c>
      <c r="M97" s="27" t="str">
        <f t="shared" si="21"/>
        <v/>
      </c>
      <c r="N97" s="27" t="str">
        <f t="shared" si="22"/>
        <v>000000000000000</v>
      </c>
      <c r="O97" s="20" t="str">
        <f t="shared" si="16"/>
        <v>000</v>
      </c>
      <c r="P97" s="20" t="str">
        <f t="shared" si="17"/>
        <v>00000</v>
      </c>
      <c r="Q97" s="26" t="str">
        <f t="shared" si="18"/>
        <v xml:space="preserve"> 000000000000</v>
      </c>
      <c r="R97" s="20" t="str">
        <f t="shared" si="19"/>
        <v xml:space="preserve"> </v>
      </c>
      <c r="S97" s="10"/>
      <c r="T97" s="36" t="str">
        <f>IF($A97="S",(_xlfn.CONCAT(
REGISTRO_DETALHE!$I$4:$I$6,
TED!$B97,
REGISTRO_DETALHE!$I$8:$I$10,
TED!$O97:$R97,
TED!$L97,
REGISTRO_DETALHE!$I$14:$I$19,
TED!$N97,
REGISTRO_DETALHE!$I$21:$I$23,
TED!$N97,
REGISTRO_DETALHE!$I$25:$I$26,
TED!$M97,
REGISTRO_DETALHE!$I$28:$I$32))," ")</f>
        <v xml:space="preserve"> </v>
      </c>
      <c r="U97" s="10"/>
    </row>
    <row r="98" spans="1:22" s="16" customFormat="1" ht="21.95" customHeight="1" x14ac:dyDescent="0.25">
      <c r="A98" s="33" t="str">
        <f t="shared" si="20"/>
        <v>N</v>
      </c>
      <c r="B98" s="17" t="str">
        <f t="shared" si="15"/>
        <v/>
      </c>
      <c r="C98" s="53"/>
      <c r="D98" s="54"/>
      <c r="E98" s="55"/>
      <c r="F98" s="56"/>
      <c r="G98" s="57"/>
      <c r="H98" s="57"/>
      <c r="I98" s="59"/>
      <c r="J98" s="60"/>
      <c r="K98" s="10"/>
      <c r="L98" s="25" t="str">
        <f t="shared" si="23"/>
        <v xml:space="preserve">                              </v>
      </c>
      <c r="M98" s="27" t="str">
        <f t="shared" si="21"/>
        <v/>
      </c>
      <c r="N98" s="27" t="str">
        <f t="shared" si="22"/>
        <v>000000000000000</v>
      </c>
      <c r="O98" s="20" t="str">
        <f t="shared" si="16"/>
        <v>000</v>
      </c>
      <c r="P98" s="20" t="str">
        <f t="shared" si="17"/>
        <v>00000</v>
      </c>
      <c r="Q98" s="26" t="str">
        <f t="shared" si="18"/>
        <v xml:space="preserve"> 000000000000</v>
      </c>
      <c r="R98" s="20" t="str">
        <f t="shared" si="19"/>
        <v xml:space="preserve"> </v>
      </c>
      <c r="S98" s="10"/>
      <c r="T98" s="36" t="str">
        <f>IF($A98="S",(_xlfn.CONCAT(
REGISTRO_DETALHE!$I$4:$I$6,
TED!$B98,
REGISTRO_DETALHE!$I$8:$I$10,
TED!$O98:$R98,
TED!$L98,
REGISTRO_DETALHE!$I$14:$I$19,
TED!$N98,
REGISTRO_DETALHE!$I$21:$I$23,
TED!$N98,
REGISTRO_DETALHE!$I$25:$I$26,
TED!$M98,
REGISTRO_DETALHE!$I$28:$I$32))," ")</f>
        <v xml:space="preserve"> </v>
      </c>
      <c r="U98" s="10"/>
    </row>
    <row r="99" spans="1:22" s="16" customFormat="1" ht="21.95" customHeight="1" x14ac:dyDescent="0.25">
      <c r="A99" s="33" t="str">
        <f t="shared" si="20"/>
        <v>N</v>
      </c>
      <c r="B99" s="17" t="str">
        <f t="shared" si="15"/>
        <v/>
      </c>
      <c r="C99" s="53"/>
      <c r="D99" s="54"/>
      <c r="E99" s="55"/>
      <c r="F99" s="56"/>
      <c r="G99" s="57"/>
      <c r="H99" s="57"/>
      <c r="I99" s="59"/>
      <c r="J99" s="60"/>
      <c r="K99" s="10"/>
      <c r="L99" s="25" t="str">
        <f t="shared" si="23"/>
        <v xml:space="preserve">                              </v>
      </c>
      <c r="M99" s="27" t="str">
        <f t="shared" si="21"/>
        <v/>
      </c>
      <c r="N99" s="27" t="str">
        <f t="shared" si="22"/>
        <v>000000000000000</v>
      </c>
      <c r="O99" s="20" t="str">
        <f t="shared" si="16"/>
        <v>000</v>
      </c>
      <c r="P99" s="20" t="str">
        <f t="shared" si="17"/>
        <v>00000</v>
      </c>
      <c r="Q99" s="26" t="str">
        <f t="shared" si="18"/>
        <v xml:space="preserve"> 000000000000</v>
      </c>
      <c r="R99" s="20" t="str">
        <f t="shared" si="19"/>
        <v xml:space="preserve"> </v>
      </c>
      <c r="S99" s="10"/>
      <c r="T99" s="36" t="str">
        <f>IF($A99="S",(_xlfn.CONCAT(
REGISTRO_DETALHE!$I$4:$I$6,
TED!$B99,
REGISTRO_DETALHE!$I$8:$I$10,
TED!$O99:$R99,
TED!$L99,
REGISTRO_DETALHE!$I$14:$I$19,
TED!$N99,
REGISTRO_DETALHE!$I$21:$I$23,
TED!$N99,
REGISTRO_DETALHE!$I$25:$I$26,
TED!$M99,
REGISTRO_DETALHE!$I$28:$I$32))," ")</f>
        <v xml:space="preserve"> </v>
      </c>
      <c r="U99" s="10"/>
    </row>
    <row r="100" spans="1:22" s="16" customFormat="1" ht="21.95" customHeight="1" x14ac:dyDescent="0.25">
      <c r="A100" s="33" t="str">
        <f t="shared" si="20"/>
        <v>N</v>
      </c>
      <c r="B100" s="17" t="str">
        <f t="shared" si="15"/>
        <v/>
      </c>
      <c r="C100" s="53"/>
      <c r="D100" s="54"/>
      <c r="E100" s="55"/>
      <c r="F100" s="56"/>
      <c r="G100" s="57"/>
      <c r="H100" s="57"/>
      <c r="I100" s="59"/>
      <c r="J100" s="60"/>
      <c r="K100" s="10"/>
      <c r="L100" s="25" t="str">
        <f t="shared" si="23"/>
        <v xml:space="preserve">                              </v>
      </c>
      <c r="M100" s="27" t="str">
        <f t="shared" si="21"/>
        <v/>
      </c>
      <c r="N100" s="27" t="str">
        <f t="shared" si="22"/>
        <v>000000000000000</v>
      </c>
      <c r="O100" s="20" t="str">
        <f t="shared" si="16"/>
        <v>000</v>
      </c>
      <c r="P100" s="20" t="str">
        <f t="shared" si="17"/>
        <v>00000</v>
      </c>
      <c r="Q100" s="26" t="str">
        <f t="shared" si="18"/>
        <v xml:space="preserve"> 000000000000</v>
      </c>
      <c r="R100" s="20" t="str">
        <f t="shared" si="19"/>
        <v xml:space="preserve"> </v>
      </c>
      <c r="S100" s="10"/>
      <c r="T100" s="36" t="str">
        <f>IF($A100="S",(_xlfn.CONCAT(
REGISTRO_DETALHE!$I$4:$I$6,
TED!$B100,
REGISTRO_DETALHE!$I$8:$I$10,
TED!$O100:$R100,
TED!$L100,
REGISTRO_DETALHE!$I$14:$I$19,
TED!$N100,
REGISTRO_DETALHE!$I$21:$I$23,
TED!$N100,
REGISTRO_DETALHE!$I$25:$I$26,
TED!$M100,
REGISTRO_DETALHE!$I$28:$I$32))," ")</f>
        <v xml:space="preserve"> </v>
      </c>
      <c r="U100" s="10"/>
    </row>
    <row r="101" spans="1:22" s="16" customFormat="1" ht="21.95" customHeight="1" x14ac:dyDescent="0.25">
      <c r="A101" s="33" t="str">
        <f t="shared" si="20"/>
        <v>N</v>
      </c>
      <c r="B101" s="17" t="str">
        <f t="shared" si="15"/>
        <v/>
      </c>
      <c r="C101" s="53"/>
      <c r="D101" s="54"/>
      <c r="E101" s="55"/>
      <c r="F101" s="56"/>
      <c r="G101" s="57"/>
      <c r="H101" s="57"/>
      <c r="I101" s="59"/>
      <c r="J101" s="60"/>
      <c r="K101" s="10"/>
      <c r="L101" s="25" t="str">
        <f t="shared" si="23"/>
        <v xml:space="preserve">                              </v>
      </c>
      <c r="M101" s="27" t="str">
        <f t="shared" si="21"/>
        <v/>
      </c>
      <c r="N101" s="27" t="str">
        <f t="shared" si="22"/>
        <v>000000000000000</v>
      </c>
      <c r="O101" s="20" t="str">
        <f t="shared" si="16"/>
        <v>000</v>
      </c>
      <c r="P101" s="20" t="str">
        <f t="shared" si="17"/>
        <v>00000</v>
      </c>
      <c r="Q101" s="26" t="str">
        <f t="shared" si="18"/>
        <v xml:space="preserve"> 000000000000</v>
      </c>
      <c r="R101" s="20" t="str">
        <f t="shared" si="19"/>
        <v xml:space="preserve"> </v>
      </c>
      <c r="S101" s="10"/>
      <c r="T101" s="36" t="str">
        <f>IF($A101="S",(_xlfn.CONCAT(
REGISTRO_DETALHE!$I$4:$I$6,
TED!$B101,
REGISTRO_DETALHE!$I$8:$I$10,
TED!$O101:$R101,
TED!$L101,
REGISTRO_DETALHE!$I$14:$I$19,
TED!$N101,
REGISTRO_DETALHE!$I$21:$I$23,
TED!$N101,
REGISTRO_DETALHE!$I$25:$I$26,
TED!$M101,
REGISTRO_DETALHE!$I$28:$I$32))," ")</f>
        <v xml:space="preserve"> </v>
      </c>
      <c r="U101" s="10"/>
    </row>
    <row r="102" spans="1:22" s="16" customFormat="1" ht="21.95" customHeight="1" x14ac:dyDescent="0.25">
      <c r="A102" s="33" t="str">
        <f t="shared" si="20"/>
        <v>N</v>
      </c>
      <c r="B102" s="17" t="str">
        <f t="shared" si="15"/>
        <v/>
      </c>
      <c r="C102" s="53"/>
      <c r="D102" s="54"/>
      <c r="E102" s="55"/>
      <c r="F102" s="56"/>
      <c r="G102" s="57"/>
      <c r="H102" s="57"/>
      <c r="I102" s="59"/>
      <c r="J102" s="60"/>
      <c r="K102" s="10"/>
      <c r="L102" s="25" t="str">
        <f t="shared" si="23"/>
        <v xml:space="preserve">                              </v>
      </c>
      <c r="M102" s="27" t="str">
        <f t="shared" si="21"/>
        <v/>
      </c>
      <c r="N102" s="27" t="str">
        <f t="shared" si="22"/>
        <v>000000000000000</v>
      </c>
      <c r="O102" s="20" t="str">
        <f t="shared" si="16"/>
        <v>000</v>
      </c>
      <c r="P102" s="20" t="str">
        <f t="shared" si="17"/>
        <v>00000</v>
      </c>
      <c r="Q102" s="26" t="str">
        <f t="shared" si="18"/>
        <v xml:space="preserve"> 000000000000</v>
      </c>
      <c r="R102" s="20" t="str">
        <f t="shared" si="19"/>
        <v xml:space="preserve"> </v>
      </c>
      <c r="S102" s="10"/>
      <c r="T102" s="36" t="str">
        <f>IF($A102="S",(_xlfn.CONCAT(
REGISTRO_DETALHE!$I$4:$I$6,
TED!$B102,
REGISTRO_DETALHE!$I$8:$I$10,
TED!$O102:$R102,
TED!$L102,
REGISTRO_DETALHE!$I$14:$I$19,
TED!$N102,
REGISTRO_DETALHE!$I$21:$I$23,
TED!$N102,
REGISTRO_DETALHE!$I$25:$I$26,
TED!$M102,
REGISTRO_DETALHE!$I$28:$I$32))," ")</f>
        <v xml:space="preserve"> </v>
      </c>
      <c r="U102" s="10"/>
    </row>
    <row r="103" spans="1:22" s="16" customFormat="1" ht="21.95" customHeight="1" x14ac:dyDescent="0.25">
      <c r="A103" s="33" t="str">
        <f t="shared" si="20"/>
        <v>N</v>
      </c>
      <c r="B103" s="17" t="str">
        <f t="shared" si="15"/>
        <v/>
      </c>
      <c r="C103" s="53"/>
      <c r="D103" s="54"/>
      <c r="E103" s="55"/>
      <c r="F103" s="56"/>
      <c r="G103" s="57"/>
      <c r="H103" s="57"/>
      <c r="I103" s="59"/>
      <c r="J103" s="60"/>
      <c r="K103" s="10"/>
      <c r="L103" s="25" t="str">
        <f t="shared" si="23"/>
        <v xml:space="preserve">                              </v>
      </c>
      <c r="M103" s="27" t="str">
        <f t="shared" si="21"/>
        <v/>
      </c>
      <c r="N103" s="27" t="str">
        <f t="shared" si="22"/>
        <v>000000000000000</v>
      </c>
      <c r="O103" s="20" t="str">
        <f t="shared" si="16"/>
        <v>000</v>
      </c>
      <c r="P103" s="20" t="str">
        <f t="shared" si="17"/>
        <v>00000</v>
      </c>
      <c r="Q103" s="26" t="str">
        <f t="shared" si="18"/>
        <v xml:space="preserve"> 000000000000</v>
      </c>
      <c r="R103" s="20" t="str">
        <f t="shared" si="19"/>
        <v xml:space="preserve"> </v>
      </c>
      <c r="S103" s="10"/>
      <c r="T103" s="36" t="str">
        <f>IF($A103="S",(_xlfn.CONCAT(
REGISTRO_DETALHE!$I$4:$I$6,
TED!$B103,
REGISTRO_DETALHE!$I$8:$I$10,
TED!$O103:$R103,
TED!$L103,
REGISTRO_DETALHE!$I$14:$I$19,
TED!$N103,
REGISTRO_DETALHE!$I$21:$I$23,
TED!$N103,
REGISTRO_DETALHE!$I$25:$I$26,
TED!$M103,
REGISTRO_DETALHE!$I$28:$I$32))," ")</f>
        <v xml:space="preserve"> </v>
      </c>
      <c r="U103" s="10"/>
    </row>
    <row r="104" spans="1:22" s="16" customFormat="1" ht="21.95" customHeight="1" x14ac:dyDescent="0.25">
      <c r="A104" s="33" t="str">
        <f t="shared" si="20"/>
        <v>N</v>
      </c>
      <c r="B104" s="17" t="str">
        <f t="shared" si="15"/>
        <v/>
      </c>
      <c r="C104" s="53"/>
      <c r="D104" s="54"/>
      <c r="E104" s="55"/>
      <c r="F104" s="56"/>
      <c r="G104" s="57"/>
      <c r="H104" s="57"/>
      <c r="I104" s="59"/>
      <c r="J104" s="60"/>
      <c r="K104" s="10"/>
      <c r="L104" s="25" t="str">
        <f t="shared" si="23"/>
        <v xml:space="preserve">                              </v>
      </c>
      <c r="M104" s="27" t="str">
        <f t="shared" si="21"/>
        <v/>
      </c>
      <c r="N104" s="27" t="str">
        <f t="shared" si="22"/>
        <v>000000000000000</v>
      </c>
      <c r="O104" s="20" t="str">
        <f t="shared" si="16"/>
        <v>000</v>
      </c>
      <c r="P104" s="20" t="str">
        <f t="shared" si="17"/>
        <v>00000</v>
      </c>
      <c r="Q104" s="26" t="str">
        <f t="shared" si="18"/>
        <v xml:space="preserve"> 000000000000</v>
      </c>
      <c r="R104" s="20" t="str">
        <f t="shared" si="19"/>
        <v xml:space="preserve"> </v>
      </c>
      <c r="S104" s="10"/>
      <c r="T104" s="36" t="str">
        <f>IF($A104="S",(_xlfn.CONCAT(
REGISTRO_DETALHE!$I$4:$I$6,
TED!$B104,
REGISTRO_DETALHE!$I$8:$I$10,
TED!$O104:$R104,
TED!$L104,
REGISTRO_DETALHE!$I$14:$I$19,
TED!$N104,
REGISTRO_DETALHE!$I$21:$I$23,
TED!$N104,
REGISTRO_DETALHE!$I$25:$I$26,
TED!$M104,
REGISTRO_DETALHE!$I$28:$I$32))," ")</f>
        <v xml:space="preserve"> </v>
      </c>
      <c r="U104" s="10"/>
    </row>
    <row r="105" spans="1:22" s="16" customFormat="1" ht="21.95" customHeight="1" x14ac:dyDescent="0.25">
      <c r="A105" s="33" t="str">
        <f t="shared" si="20"/>
        <v>N</v>
      </c>
      <c r="B105" s="17" t="str">
        <f t="shared" si="15"/>
        <v/>
      </c>
      <c r="C105" s="53"/>
      <c r="D105" s="54"/>
      <c r="E105" s="55"/>
      <c r="F105" s="56"/>
      <c r="G105" s="57"/>
      <c r="H105" s="57"/>
      <c r="I105" s="59"/>
      <c r="J105" s="60"/>
      <c r="K105" s="10"/>
      <c r="L105" s="25" t="str">
        <f t="shared" si="23"/>
        <v xml:space="preserve">                              </v>
      </c>
      <c r="M105" s="27" t="str">
        <f t="shared" si="21"/>
        <v/>
      </c>
      <c r="N105" s="27" t="str">
        <f t="shared" si="22"/>
        <v>000000000000000</v>
      </c>
      <c r="O105" s="20" t="str">
        <f t="shared" si="16"/>
        <v>000</v>
      </c>
      <c r="P105" s="20" t="str">
        <f t="shared" si="17"/>
        <v>00000</v>
      </c>
      <c r="Q105" s="26" t="str">
        <f t="shared" si="18"/>
        <v xml:space="preserve"> 000000000000</v>
      </c>
      <c r="R105" s="20" t="str">
        <f t="shared" si="19"/>
        <v xml:space="preserve"> </v>
      </c>
      <c r="S105" s="10"/>
      <c r="T105" s="36" t="str">
        <f>IF($A105="S",(_xlfn.CONCAT(
REGISTRO_DETALHE!$I$4:$I$6,
TED!$B105,
REGISTRO_DETALHE!$I$8:$I$10,
TED!$O105:$R105,
TED!$L105,
REGISTRO_DETALHE!$I$14:$I$19,
TED!$N105,
REGISTRO_DETALHE!$I$21:$I$23,
TED!$N105,
REGISTRO_DETALHE!$I$25:$I$26,
TED!$M105,
REGISTRO_DETALHE!$I$28:$I$32))," ")</f>
        <v xml:space="preserve"> </v>
      </c>
      <c r="U105" s="10"/>
    </row>
    <row r="106" spans="1:22" s="16" customFormat="1" ht="21.95" customHeight="1" x14ac:dyDescent="0.25">
      <c r="A106" s="33" t="str">
        <f t="shared" si="20"/>
        <v>N</v>
      </c>
      <c r="B106" s="17" t="str">
        <f t="shared" si="15"/>
        <v/>
      </c>
      <c r="C106" s="53"/>
      <c r="D106" s="54"/>
      <c r="E106" s="55"/>
      <c r="F106" s="56"/>
      <c r="G106" s="57"/>
      <c r="H106" s="57"/>
      <c r="I106" s="59"/>
      <c r="J106" s="60"/>
      <c r="K106" s="10"/>
      <c r="L106" s="25" t="str">
        <f t="shared" si="23"/>
        <v xml:space="preserve">                              </v>
      </c>
      <c r="M106" s="27" t="str">
        <f t="shared" si="21"/>
        <v/>
      </c>
      <c r="N106" s="27" t="str">
        <f t="shared" si="22"/>
        <v>000000000000000</v>
      </c>
      <c r="O106" s="20" t="str">
        <f t="shared" si="16"/>
        <v>000</v>
      </c>
      <c r="P106" s="20" t="str">
        <f t="shared" si="17"/>
        <v>00000</v>
      </c>
      <c r="Q106" s="26" t="str">
        <f t="shared" si="18"/>
        <v xml:space="preserve"> 000000000000</v>
      </c>
      <c r="R106" s="20" t="str">
        <f t="shared" si="19"/>
        <v xml:space="preserve"> </v>
      </c>
      <c r="S106" s="10"/>
      <c r="T106" s="36" t="str">
        <f>IF($A106="S",(_xlfn.CONCAT(
REGISTRO_DETALHE!$I$4:$I$6,
TED!$B106,
REGISTRO_DETALHE!$I$8:$I$10,
TED!$O106:$R106,
TED!$L106,
REGISTRO_DETALHE!$I$14:$I$19,
TED!$N106,
REGISTRO_DETALHE!$I$21:$I$23,
TED!$N106,
REGISTRO_DETALHE!$I$25:$I$26,
TED!$M106,
REGISTRO_DETALHE!$I$28:$I$32))," ")</f>
        <v xml:space="preserve"> </v>
      </c>
      <c r="U106" s="10"/>
    </row>
    <row r="107" spans="1:22" x14ac:dyDescent="0.25">
      <c r="A107" s="10"/>
      <c r="B107" s="10"/>
      <c r="C107" s="10"/>
      <c r="D107" s="10"/>
      <c r="E107" s="10"/>
      <c r="F107" s="10"/>
      <c r="G107" s="10"/>
      <c r="H107" s="10"/>
      <c r="I107" s="30"/>
      <c r="J107" s="10"/>
      <c r="K107" s="10"/>
      <c r="L107" s="10"/>
      <c r="M107" s="10"/>
      <c r="N107" s="10"/>
      <c r="O107" s="10"/>
      <c r="P107" s="10"/>
      <c r="Q107" s="10"/>
      <c r="R107" s="10"/>
      <c r="S107" s="10"/>
      <c r="T107" s="10"/>
      <c r="U107" s="10"/>
    </row>
    <row r="108" spans="1:22" x14ac:dyDescent="0.25">
      <c r="A108" s="10"/>
      <c r="B108" s="10"/>
      <c r="C108" s="10"/>
      <c r="D108" s="10"/>
      <c r="E108" s="10"/>
      <c r="F108" s="10"/>
      <c r="G108" s="10"/>
      <c r="H108" s="10"/>
      <c r="I108" s="30"/>
      <c r="J108" s="10"/>
      <c r="K108" s="10"/>
      <c r="L108" s="10"/>
      <c r="M108" s="10"/>
      <c r="N108" s="10"/>
      <c r="O108" s="10"/>
      <c r="P108" s="10"/>
      <c r="Q108" s="10"/>
      <c r="R108" s="10"/>
      <c r="S108" s="10"/>
      <c r="T108" s="10"/>
      <c r="U108" s="10"/>
    </row>
    <row r="109" spans="1:22" s="1" customFormat="1" ht="32.25" customHeight="1" x14ac:dyDescent="0.25">
      <c r="A109" s="10"/>
      <c r="B109" s="10"/>
      <c r="C109" s="10"/>
      <c r="D109" s="10"/>
      <c r="E109" s="10"/>
      <c r="F109" s="10"/>
      <c r="G109" s="10"/>
      <c r="H109" s="10"/>
      <c r="I109" s="30"/>
      <c r="J109" s="10"/>
      <c r="K109" s="10"/>
      <c r="L109" s="10"/>
      <c r="M109" s="10"/>
      <c r="N109" s="10"/>
      <c r="O109" s="10"/>
      <c r="P109" s="10"/>
      <c r="Q109" s="10"/>
      <c r="R109" s="10"/>
      <c r="S109" s="10"/>
      <c r="T109" s="10"/>
      <c r="U109" s="10"/>
      <c r="V109" s="24"/>
    </row>
  </sheetData>
  <sheetProtection selectLockedCells="1" autoFilter="0"/>
  <autoFilter ref="C6:I106" xr:uid="{9E2F35CD-89CF-41E1-B189-C10128D94562}">
    <sortState xmlns:xlrd2="http://schemas.microsoft.com/office/spreadsheetml/2017/richdata2" ref="C7:I106">
      <sortCondition ref="C6:C106"/>
    </sortState>
  </autoFilter>
  <mergeCells count="1">
    <mergeCell ref="A1:K1"/>
  </mergeCells>
  <conditionalFormatting sqref="F7:F106">
    <cfRule type="cellIs" dxfId="6" priority="1" operator="equal">
      <formula>341</formula>
    </cfRule>
  </conditionalFormatting>
  <pageMargins left="0.511811024" right="0.511811024" top="0.78740157499999996" bottom="0.78740157499999996" header="0.31496062000000002" footer="0.31496062000000002"/>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DDFE6E-773C-4E73-B4B5-92B5871C30AE}">
  <sheetPr codeName="Planilha10">
    <tabColor rgb="FFC00000"/>
  </sheetPr>
  <dimension ref="A1:V109"/>
  <sheetViews>
    <sheetView showGridLines="0" showRowColHeaders="0" zoomScale="86" zoomScaleNormal="86" workbookViewId="0">
      <pane ySplit="6" topLeftCell="A7" activePane="bottomLeft" state="frozenSplit"/>
      <selection pane="bottomLeft" activeCell="C7" sqref="C7"/>
    </sheetView>
  </sheetViews>
  <sheetFormatPr defaultColWidth="0" defaultRowHeight="15" customHeight="1" zeroHeight="1" outlineLevelCol="1" x14ac:dyDescent="0.25"/>
  <cols>
    <col min="1" max="1" width="4.7109375" customWidth="1"/>
    <col min="2" max="2" width="10.7109375" customWidth="1"/>
    <col min="3" max="3" width="50.7109375" customWidth="1"/>
    <col min="4" max="4" width="20.7109375" customWidth="1"/>
    <col min="5" max="5" width="14.7109375" customWidth="1"/>
    <col min="6" max="6" width="10.7109375" customWidth="1"/>
    <col min="7" max="8" width="14.7109375" customWidth="1"/>
    <col min="9" max="9" width="8.7109375" style="5" customWidth="1"/>
    <col min="10" max="10" width="68.28515625" customWidth="1"/>
    <col min="11" max="11" width="4.7109375" customWidth="1"/>
    <col min="12" max="12" width="40.7109375" hidden="1" customWidth="1" outlineLevel="1"/>
    <col min="13" max="14" width="20.7109375" style="5" hidden="1" customWidth="1" outlineLevel="1"/>
    <col min="15" max="16" width="9.140625" hidden="1" customWidth="1" outlineLevel="1"/>
    <col min="17" max="17" width="15.85546875" hidden="1" customWidth="1" outlineLevel="1"/>
    <col min="18" max="18" width="12.140625" hidden="1" customWidth="1" outlineLevel="1"/>
    <col min="19" max="19" width="4.7109375" customWidth="1" collapsed="1"/>
    <col min="20" max="20" width="211.85546875" hidden="1" customWidth="1" outlineLevel="1"/>
    <col min="21" max="21" width="4.7109375" customWidth="1" collapsed="1"/>
    <col min="22" max="16384" width="9.140625" hidden="1"/>
  </cols>
  <sheetData>
    <row r="1" spans="1:21" x14ac:dyDescent="0.25">
      <c r="A1" s="91">
        <f ca="1">TODAY()</f>
        <v>45408</v>
      </c>
      <c r="B1" s="91"/>
      <c r="C1" s="91"/>
      <c r="D1" s="91"/>
      <c r="E1" s="91"/>
      <c r="F1" s="91"/>
      <c r="G1" s="91"/>
      <c r="H1" s="91"/>
      <c r="I1" s="91"/>
      <c r="J1" s="91"/>
      <c r="K1" s="91"/>
      <c r="L1" s="10"/>
      <c r="M1" s="30"/>
      <c r="N1" s="30"/>
      <c r="O1" s="10"/>
      <c r="P1" s="10"/>
      <c r="Q1" s="10"/>
      <c r="R1" s="10"/>
      <c r="S1" s="10"/>
      <c r="T1" s="10"/>
      <c r="U1" s="10"/>
    </row>
    <row r="2" spans="1:21" ht="51.75" customHeight="1" x14ac:dyDescent="0.25">
      <c r="A2" s="10"/>
      <c r="B2" s="10"/>
      <c r="C2" s="10"/>
      <c r="D2" s="18"/>
      <c r="E2" s="76" t="s">
        <v>259</v>
      </c>
      <c r="F2" s="18"/>
      <c r="G2" s="10"/>
      <c r="H2" s="10"/>
      <c r="I2" s="30"/>
      <c r="J2" s="10"/>
      <c r="K2" s="10"/>
      <c r="L2" s="10"/>
      <c r="M2" s="30"/>
      <c r="N2" s="30"/>
      <c r="O2" s="10"/>
      <c r="P2" s="10"/>
      <c r="Q2" s="10"/>
      <c r="R2" s="10"/>
      <c r="S2" s="10"/>
      <c r="T2" s="10"/>
      <c r="U2" s="10"/>
    </row>
    <row r="3" spans="1:21" x14ac:dyDescent="0.25">
      <c r="A3" s="10"/>
      <c r="B3" s="10"/>
      <c r="C3" s="10"/>
      <c r="D3" s="74">
        <f>COUNTIF(A7:A106,"S")</f>
        <v>1</v>
      </c>
      <c r="E3" s="75">
        <f>SUM(E7:E106)</f>
        <v>50</v>
      </c>
      <c r="F3" s="10"/>
      <c r="G3" s="10"/>
      <c r="H3" s="10"/>
      <c r="I3" s="30"/>
      <c r="J3" s="10"/>
      <c r="K3" s="10"/>
      <c r="L3" s="10"/>
      <c r="M3" s="30"/>
      <c r="N3" s="30"/>
      <c r="O3" s="10"/>
      <c r="P3" s="10"/>
      <c r="Q3" s="10"/>
      <c r="R3" s="10"/>
      <c r="S3" s="10"/>
      <c r="T3" s="10"/>
      <c r="U3" s="10"/>
    </row>
    <row r="4" spans="1:21" x14ac:dyDescent="0.25">
      <c r="A4" s="12"/>
      <c r="B4" s="12"/>
      <c r="C4" s="12"/>
      <c r="D4" s="12"/>
      <c r="E4" s="12"/>
      <c r="F4" s="12"/>
      <c r="G4" s="12"/>
      <c r="H4" s="12"/>
      <c r="I4" s="31"/>
      <c r="J4" s="12"/>
      <c r="K4" s="12"/>
      <c r="L4" s="28">
        <v>30</v>
      </c>
      <c r="M4" s="28">
        <v>14</v>
      </c>
      <c r="N4" s="28">
        <v>15</v>
      </c>
      <c r="O4" s="28">
        <v>3</v>
      </c>
      <c r="P4" s="28">
        <v>5</v>
      </c>
      <c r="Q4" s="28">
        <v>12</v>
      </c>
      <c r="R4" s="28">
        <v>2</v>
      </c>
      <c r="S4" s="10"/>
      <c r="T4" s="28"/>
      <c r="U4" s="10"/>
    </row>
    <row r="5" spans="1:21" s="15" customFormat="1" ht="18.75" x14ac:dyDescent="0.3">
      <c r="A5" s="14"/>
      <c r="B5" s="12"/>
      <c r="C5" s="19" t="s">
        <v>242</v>
      </c>
      <c r="D5" s="19" t="s">
        <v>247</v>
      </c>
      <c r="E5" s="19" t="s">
        <v>244</v>
      </c>
      <c r="F5" s="19" t="s">
        <v>246</v>
      </c>
      <c r="G5" s="19" t="s">
        <v>243</v>
      </c>
      <c r="H5" s="19" t="s">
        <v>245</v>
      </c>
      <c r="I5" s="19" t="s">
        <v>250</v>
      </c>
      <c r="J5" s="19"/>
      <c r="K5" s="14"/>
      <c r="L5" s="29" t="s">
        <v>242</v>
      </c>
      <c r="M5" s="29" t="s">
        <v>247</v>
      </c>
      <c r="N5" s="29" t="s">
        <v>244</v>
      </c>
      <c r="O5" s="29" t="s">
        <v>246</v>
      </c>
      <c r="P5" s="29" t="s">
        <v>243</v>
      </c>
      <c r="Q5" s="29" t="s">
        <v>245</v>
      </c>
      <c r="R5" s="29" t="s">
        <v>251</v>
      </c>
      <c r="S5" s="10"/>
      <c r="T5" s="35" t="s">
        <v>255</v>
      </c>
      <c r="U5" s="10"/>
    </row>
    <row r="6" spans="1:21" x14ac:dyDescent="0.25">
      <c r="A6" s="12"/>
      <c r="B6" s="12"/>
      <c r="C6" s="13"/>
      <c r="D6" s="13"/>
      <c r="E6" s="13"/>
      <c r="F6" s="21" t="s">
        <v>248</v>
      </c>
      <c r="G6" s="13"/>
      <c r="H6" s="13"/>
      <c r="I6" s="21"/>
      <c r="J6" s="13"/>
      <c r="K6" s="12"/>
      <c r="L6" s="32">
        <f t="shared" ref="L6:R6" si="0">LEN(L7)</f>
        <v>30</v>
      </c>
      <c r="M6" s="32">
        <f t="shared" si="0"/>
        <v>14</v>
      </c>
      <c r="N6" s="32">
        <f t="shared" si="0"/>
        <v>15</v>
      </c>
      <c r="O6" s="32">
        <f t="shared" si="0"/>
        <v>3</v>
      </c>
      <c r="P6" s="32">
        <f t="shared" si="0"/>
        <v>5</v>
      </c>
      <c r="Q6" s="32">
        <f t="shared" si="0"/>
        <v>13</v>
      </c>
      <c r="R6" s="32">
        <f t="shared" si="0"/>
        <v>2</v>
      </c>
      <c r="S6" s="10"/>
      <c r="T6" s="32"/>
      <c r="U6" s="10"/>
    </row>
    <row r="7" spans="1:21" s="16" customFormat="1" ht="21.95" customHeight="1" x14ac:dyDescent="0.25">
      <c r="A7" s="33" t="str">
        <f>IF(OR(C7="",D7="",E7="",F7="",G7="",H7="",I7=""),"N","S")</f>
        <v>S</v>
      </c>
      <c r="B7" s="17" t="str">
        <f>IF(C7="","",(TEXT((B6+1),"00000")))</f>
        <v>00001</v>
      </c>
      <c r="C7" s="53" t="s">
        <v>265</v>
      </c>
      <c r="D7" s="54">
        <v>6854312900</v>
      </c>
      <c r="E7" s="55">
        <v>50</v>
      </c>
      <c r="F7" s="56">
        <v>341</v>
      </c>
      <c r="G7" s="57">
        <v>1</v>
      </c>
      <c r="H7" s="57">
        <v>10</v>
      </c>
      <c r="I7" s="59">
        <v>0</v>
      </c>
      <c r="J7" s="60"/>
      <c r="K7" s="10"/>
      <c r="L7" s="25" t="str">
        <f>IF(LEN(C7)&lt;30,
_xlfn.CONCAT((C7),REPT(" ",(30-(LEN(C7))))),
(LEFT(C7,30)))</f>
        <v xml:space="preserve">THIAGO GOMES ZIOLKOWSKI       </v>
      </c>
      <c r="M7" s="27" t="str">
        <f>TEXT(SUBSTITUTE((SUBSTITUTE(SUBSTITUTE(D7,"-",""),".","")),"/",""),"00000000000000")</f>
        <v>00006854312900</v>
      </c>
      <c r="N7" s="27" t="str">
        <f>TEXT((SUBSTITUTE(SUBSTITUTE((E7*100),",",""),".","")),"000000000000000")</f>
        <v>000000000005000</v>
      </c>
      <c r="O7" s="20" t="str">
        <f>TEXT(F7,"000")</f>
        <v>341</v>
      </c>
      <c r="P7" s="20" t="str">
        <f>TEXT(G7,"00000")</f>
        <v>00001</v>
      </c>
      <c r="Q7" s="26" t="str">
        <f>" "&amp;(TEXT(H7,"000000000000"))</f>
        <v xml:space="preserve"> 000000000010</v>
      </c>
      <c r="R7" s="20" t="str">
        <f>_xlfn.CONCAT(" ",I7)</f>
        <v xml:space="preserve"> 0</v>
      </c>
      <c r="S7" s="10"/>
      <c r="T7" s="36" t="str">
        <f>IF($A7="S",(_xlfn.CONCAT(
REGISTRO_DETALHE!$I$4:$I$6,
'C.C.ITAU'!$B7,
REGISTRO_DETALHE!$I$8:$I$10,
'C.C.ITAU'!$O7:$R7,
'C.C.ITAU'!$L7,
REGISTRO_DETALHE!$I$14:$I$19,
'C.C.ITAU'!$N7,
REGISTRO_DETALHE!$I$21:$I$23,
'C.C.ITAU'!$N7,
REGISTRO_DETALHE!$I$25:$I$26,
'C.C.ITAU'!$M7,
REGISTRO_DETALHE!$I$28:$I$32))," ")</f>
        <v xml:space="preserve">3410001300001A00000034100001 000000000010 0THIAGO GOMES ZIOLKOWSKI                           31122024REA000000000000000000000000005000                    31122024000000000005000                    00000000006854312900  00000     0          </v>
      </c>
      <c r="U7" s="10"/>
    </row>
    <row r="8" spans="1:21" s="16" customFormat="1" ht="21.95" customHeight="1" x14ac:dyDescent="0.25">
      <c r="A8" s="33" t="str">
        <f>IF(OR(C8="",D8="",E8="",F8="",G8="",H8="",I8=""),"N","S")</f>
        <v>N</v>
      </c>
      <c r="B8" s="17" t="str">
        <f t="shared" ref="B8:B71" si="1">IF(C8="","",(TEXT((B7+1),"00000")))</f>
        <v/>
      </c>
      <c r="C8" s="53"/>
      <c r="D8" s="54"/>
      <c r="E8" s="55"/>
      <c r="F8" s="56"/>
      <c r="G8" s="57"/>
      <c r="H8" s="57"/>
      <c r="I8" s="59"/>
      <c r="J8" s="60"/>
      <c r="K8" s="10"/>
      <c r="L8" s="25" t="str">
        <f t="shared" ref="L8:L11" si="2">IF(LEN(C8)&lt;30,
_xlfn.CONCAT((C8),REPT(" ",(30-(LEN(C8))))),
(LEFT(C8,30)))</f>
        <v xml:space="preserve">                              </v>
      </c>
      <c r="M8" s="27" t="str">
        <f>TEXT(SUBSTITUTE((SUBSTITUTE(SUBSTITUTE(D8,"-",""),".","")),"/",""),"00000000000000")</f>
        <v/>
      </c>
      <c r="N8" s="27" t="str">
        <f t="shared" ref="N8:N10" si="3">TEXT((SUBSTITUTE(SUBSTITUTE((E8*100),",",""),".","")),"000000000000000")</f>
        <v>000000000000000</v>
      </c>
      <c r="O8" s="20" t="str">
        <f t="shared" ref="O8:O71" si="4">TEXT(F8,"000")</f>
        <v>000</v>
      </c>
      <c r="P8" s="20" t="str">
        <f t="shared" ref="P8:P71" si="5">TEXT(G8,"00000")</f>
        <v>00000</v>
      </c>
      <c r="Q8" s="26" t="str">
        <f t="shared" ref="Q8:Q71" si="6">" "&amp;(TEXT(H8,"000000000000"))</f>
        <v xml:space="preserve"> 000000000000</v>
      </c>
      <c r="R8" s="20" t="str">
        <f t="shared" ref="R8:R71" si="7">_xlfn.CONCAT(" ",I8)</f>
        <v xml:space="preserve"> </v>
      </c>
      <c r="S8" s="10"/>
      <c r="T8" s="36" t="str">
        <f>IF($A8="S",(_xlfn.CONCAT(
REGISTRO_DETALHE!$I$4:$I$6,
'C.C.ITAU'!$B8,
REGISTRO_DETALHE!$I$8:$I$10,
'C.C.ITAU'!$O8:$R8,
'C.C.ITAU'!$L8,
REGISTRO_DETALHE!$I$14:$I$19,
'C.C.ITAU'!$N8,
REGISTRO_DETALHE!$I$21:$I$23,
'C.C.ITAU'!$N8,
REGISTRO_DETALHE!$I$25:$I$26,
'C.C.ITAU'!$M8,
REGISTRO_DETALHE!$I$28:$I$32))," ")</f>
        <v xml:space="preserve"> </v>
      </c>
      <c r="U8" s="10"/>
    </row>
    <row r="9" spans="1:21" s="16" customFormat="1" ht="21.95" customHeight="1" x14ac:dyDescent="0.25">
      <c r="A9" s="33" t="str">
        <f t="shared" ref="A9:A72" si="8">IF(OR(C9="",D9="",E9="",F9="",G9="",H9="",I9=""),"N","S")</f>
        <v>N</v>
      </c>
      <c r="B9" s="17" t="str">
        <f t="shared" si="1"/>
        <v/>
      </c>
      <c r="C9" s="53"/>
      <c r="D9" s="54"/>
      <c r="E9" s="55"/>
      <c r="F9" s="56"/>
      <c r="G9" s="57"/>
      <c r="H9" s="57"/>
      <c r="I9" s="59"/>
      <c r="J9" s="60"/>
      <c r="K9" s="10"/>
      <c r="L9" s="25" t="str">
        <f t="shared" si="2"/>
        <v xml:space="preserve">                              </v>
      </c>
      <c r="M9" s="27" t="str">
        <f>TEXT(SUBSTITUTE((SUBSTITUTE(SUBSTITUTE(D9,"-",""),".","")),"/",""),"00000000000000")</f>
        <v/>
      </c>
      <c r="N9" s="27" t="str">
        <f t="shared" si="3"/>
        <v>000000000000000</v>
      </c>
      <c r="O9" s="20" t="str">
        <f t="shared" si="4"/>
        <v>000</v>
      </c>
      <c r="P9" s="20" t="str">
        <f t="shared" si="5"/>
        <v>00000</v>
      </c>
      <c r="Q9" s="26" t="str">
        <f t="shared" si="6"/>
        <v xml:space="preserve"> 000000000000</v>
      </c>
      <c r="R9" s="20" t="str">
        <f t="shared" si="7"/>
        <v xml:space="preserve"> </v>
      </c>
      <c r="S9" s="10"/>
      <c r="T9" s="36" t="str">
        <f>IF($A9="S",(_xlfn.CONCAT(
REGISTRO_DETALHE!$I$4:$I$6,
'C.C.ITAU'!$B9,
REGISTRO_DETALHE!$I$8:$I$10,
'C.C.ITAU'!$O9:$R9,
'C.C.ITAU'!$L9,
REGISTRO_DETALHE!$I$14:$I$19,
'C.C.ITAU'!$N9,
REGISTRO_DETALHE!$I$21:$I$23,
'C.C.ITAU'!$N9,
REGISTRO_DETALHE!$I$25:$I$26,
'C.C.ITAU'!$M9,
REGISTRO_DETALHE!$I$28:$I$32))," ")</f>
        <v xml:space="preserve"> </v>
      </c>
      <c r="U9" s="10"/>
    </row>
    <row r="10" spans="1:21" s="16" customFormat="1" ht="21.95" customHeight="1" x14ac:dyDescent="0.25">
      <c r="A10" s="33" t="str">
        <f t="shared" si="8"/>
        <v>N</v>
      </c>
      <c r="B10" s="17" t="str">
        <f t="shared" si="1"/>
        <v/>
      </c>
      <c r="C10" s="53"/>
      <c r="D10" s="54"/>
      <c r="E10" s="55"/>
      <c r="F10" s="56"/>
      <c r="G10" s="57"/>
      <c r="H10" s="57"/>
      <c r="I10" s="59"/>
      <c r="J10" s="60"/>
      <c r="K10" s="10"/>
      <c r="L10" s="25" t="str">
        <f t="shared" si="2"/>
        <v xml:space="preserve">                              </v>
      </c>
      <c r="M10" s="27" t="str">
        <f t="shared" ref="M10:M73" si="9">TEXT(SUBSTITUTE((SUBSTITUTE(SUBSTITUTE(D10,"-",""),".","")),"/",""),"00000000000000")</f>
        <v/>
      </c>
      <c r="N10" s="27" t="str">
        <f t="shared" si="3"/>
        <v>000000000000000</v>
      </c>
      <c r="O10" s="20" t="str">
        <f t="shared" si="4"/>
        <v>000</v>
      </c>
      <c r="P10" s="20" t="str">
        <f t="shared" si="5"/>
        <v>00000</v>
      </c>
      <c r="Q10" s="26" t="str">
        <f t="shared" si="6"/>
        <v xml:space="preserve"> 000000000000</v>
      </c>
      <c r="R10" s="20" t="str">
        <f t="shared" si="7"/>
        <v xml:space="preserve"> </v>
      </c>
      <c r="S10" s="10"/>
      <c r="T10" s="36" t="str">
        <f>IF($A10="S",(_xlfn.CONCAT(
REGISTRO_DETALHE!$I$4:$I$6,
'C.C.ITAU'!$B10,
REGISTRO_DETALHE!$I$8:$I$10,
'C.C.ITAU'!$O10:$R10,
'C.C.ITAU'!$L10,
REGISTRO_DETALHE!$I$14:$I$19,
'C.C.ITAU'!$N10,
REGISTRO_DETALHE!$I$21:$I$23,
'C.C.ITAU'!$N10,
REGISTRO_DETALHE!$I$25:$I$26,
'C.C.ITAU'!$M10,
REGISTRO_DETALHE!$I$28:$I$32))," ")</f>
        <v xml:space="preserve"> </v>
      </c>
      <c r="U10" s="10"/>
    </row>
    <row r="11" spans="1:21" s="16" customFormat="1" ht="21.95" customHeight="1" x14ac:dyDescent="0.25">
      <c r="A11" s="33" t="str">
        <f t="shared" si="8"/>
        <v>N</v>
      </c>
      <c r="B11" s="17" t="str">
        <f t="shared" si="1"/>
        <v/>
      </c>
      <c r="C11" s="53"/>
      <c r="D11" s="54"/>
      <c r="E11" s="55"/>
      <c r="F11" s="56"/>
      <c r="G11" s="57"/>
      <c r="H11" s="57"/>
      <c r="I11" s="59"/>
      <c r="J11" s="60"/>
      <c r="K11" s="10"/>
      <c r="L11" s="25" t="str">
        <f t="shared" si="2"/>
        <v xml:space="preserve">                              </v>
      </c>
      <c r="M11" s="27" t="str">
        <f t="shared" si="9"/>
        <v/>
      </c>
      <c r="N11" s="27" t="str">
        <f>TEXT((SUBSTITUTE(SUBSTITUTE((E11*100),",",""),".","")),"000000000000000")</f>
        <v>000000000000000</v>
      </c>
      <c r="O11" s="20" t="str">
        <f t="shared" si="4"/>
        <v>000</v>
      </c>
      <c r="P11" s="20" t="str">
        <f t="shared" si="5"/>
        <v>00000</v>
      </c>
      <c r="Q11" s="26" t="str">
        <f t="shared" si="6"/>
        <v xml:space="preserve"> 000000000000</v>
      </c>
      <c r="R11" s="20" t="str">
        <f t="shared" si="7"/>
        <v xml:space="preserve"> </v>
      </c>
      <c r="S11" s="10"/>
      <c r="T11" s="36" t="str">
        <f>IF($A11="S",(_xlfn.CONCAT(
REGISTRO_DETALHE!$I$4:$I$6,
'C.C.ITAU'!$B11,
REGISTRO_DETALHE!$I$8:$I$10,
'C.C.ITAU'!$O11:$R11,
'C.C.ITAU'!$L11,
REGISTRO_DETALHE!$I$14:$I$19,
'C.C.ITAU'!$N11,
REGISTRO_DETALHE!$I$21:$I$23,
'C.C.ITAU'!$N11,
REGISTRO_DETALHE!$I$25:$I$26,
'C.C.ITAU'!$M11,
REGISTRO_DETALHE!$I$28:$I$32))," ")</f>
        <v xml:space="preserve"> </v>
      </c>
      <c r="U11" s="10"/>
    </row>
    <row r="12" spans="1:21" s="16" customFormat="1" ht="21.95" customHeight="1" x14ac:dyDescent="0.25">
      <c r="A12" s="33" t="str">
        <f t="shared" si="8"/>
        <v>N</v>
      </c>
      <c r="B12" s="17" t="str">
        <f t="shared" si="1"/>
        <v/>
      </c>
      <c r="C12" s="53"/>
      <c r="D12" s="54"/>
      <c r="E12" s="55"/>
      <c r="F12" s="56"/>
      <c r="G12" s="57"/>
      <c r="H12" s="57"/>
      <c r="I12" s="59"/>
      <c r="J12" s="60"/>
      <c r="K12" s="10"/>
      <c r="L12" s="25" t="str">
        <f>IF(LEN(C12)&lt;30,
_xlfn.CONCAT((C12),REPT(" ",(30-(LEN(C12))))),
(LEFT(C12,30)))</f>
        <v xml:space="preserve">                              </v>
      </c>
      <c r="M12" s="27" t="str">
        <f t="shared" si="9"/>
        <v/>
      </c>
      <c r="N12" s="27" t="str">
        <f t="shared" ref="N12:N75" si="10">TEXT((SUBSTITUTE(SUBSTITUTE((E12*100),",",""),".","")),"000000000000000")</f>
        <v>000000000000000</v>
      </c>
      <c r="O12" s="20" t="str">
        <f t="shared" si="4"/>
        <v>000</v>
      </c>
      <c r="P12" s="20" t="str">
        <f t="shared" si="5"/>
        <v>00000</v>
      </c>
      <c r="Q12" s="26" t="str">
        <f t="shared" si="6"/>
        <v xml:space="preserve"> 000000000000</v>
      </c>
      <c r="R12" s="20" t="str">
        <f t="shared" si="7"/>
        <v xml:space="preserve"> </v>
      </c>
      <c r="S12" s="10"/>
      <c r="T12" s="36" t="str">
        <f>IF($A12="S",(_xlfn.CONCAT(
REGISTRO_DETALHE!$I$4:$I$6,
'C.C.ITAU'!$B12,
REGISTRO_DETALHE!$I$8:$I$10,
'C.C.ITAU'!$O12:$R12,
'C.C.ITAU'!$L12,
REGISTRO_DETALHE!$I$14:$I$19,
'C.C.ITAU'!$N12,
REGISTRO_DETALHE!$I$21:$I$23,
'C.C.ITAU'!$N12,
REGISTRO_DETALHE!$I$25:$I$26,
'C.C.ITAU'!$M12,
REGISTRO_DETALHE!$I$28:$I$32))," ")</f>
        <v xml:space="preserve"> </v>
      </c>
      <c r="U12" s="10"/>
    </row>
    <row r="13" spans="1:21" s="16" customFormat="1" ht="21.95" customHeight="1" x14ac:dyDescent="0.25">
      <c r="A13" s="33" t="str">
        <f t="shared" si="8"/>
        <v>N</v>
      </c>
      <c r="B13" s="17" t="str">
        <f t="shared" si="1"/>
        <v/>
      </c>
      <c r="C13" s="53"/>
      <c r="D13" s="54"/>
      <c r="E13" s="55"/>
      <c r="F13" s="56"/>
      <c r="G13" s="57"/>
      <c r="H13" s="57"/>
      <c r="I13" s="59"/>
      <c r="J13" s="60"/>
      <c r="K13" s="10"/>
      <c r="L13" s="25" t="str">
        <f t="shared" ref="L13:L76" si="11">IF(LEN(C13)&lt;30,
_xlfn.CONCAT((C13),REPT(" ",(30-(LEN(C13))))),
(LEFT(C13,30)))</f>
        <v xml:space="preserve">                              </v>
      </c>
      <c r="M13" s="27" t="str">
        <f t="shared" si="9"/>
        <v/>
      </c>
      <c r="N13" s="27" t="str">
        <f t="shared" si="10"/>
        <v>000000000000000</v>
      </c>
      <c r="O13" s="20" t="str">
        <f t="shared" si="4"/>
        <v>000</v>
      </c>
      <c r="P13" s="20" t="str">
        <f t="shared" si="5"/>
        <v>00000</v>
      </c>
      <c r="Q13" s="26" t="str">
        <f t="shared" si="6"/>
        <v xml:space="preserve"> 000000000000</v>
      </c>
      <c r="R13" s="20" t="str">
        <f t="shared" si="7"/>
        <v xml:space="preserve"> </v>
      </c>
      <c r="S13" s="10"/>
      <c r="T13" s="36" t="str">
        <f>IF($A13="S",(_xlfn.CONCAT(
REGISTRO_DETALHE!$I$4:$I$6,
'C.C.ITAU'!$B13,
REGISTRO_DETALHE!$I$8:$I$10,
'C.C.ITAU'!$O13:$R13,
'C.C.ITAU'!$L13,
REGISTRO_DETALHE!$I$14:$I$19,
'C.C.ITAU'!$N13,
REGISTRO_DETALHE!$I$21:$I$23,
'C.C.ITAU'!$N13,
REGISTRO_DETALHE!$I$25:$I$26,
'C.C.ITAU'!$M13,
REGISTRO_DETALHE!$I$28:$I$32))," ")</f>
        <v xml:space="preserve"> </v>
      </c>
      <c r="U13" s="10"/>
    </row>
    <row r="14" spans="1:21" s="16" customFormat="1" ht="21.95" customHeight="1" x14ac:dyDescent="0.25">
      <c r="A14" s="33" t="str">
        <f t="shared" si="8"/>
        <v>N</v>
      </c>
      <c r="B14" s="17" t="str">
        <f t="shared" si="1"/>
        <v/>
      </c>
      <c r="C14" s="53"/>
      <c r="D14" s="54"/>
      <c r="E14" s="55"/>
      <c r="F14" s="56"/>
      <c r="G14" s="57"/>
      <c r="H14" s="57"/>
      <c r="I14" s="59"/>
      <c r="J14" s="60"/>
      <c r="K14" s="10"/>
      <c r="L14" s="25" t="str">
        <f t="shared" si="11"/>
        <v xml:space="preserve">                              </v>
      </c>
      <c r="M14" s="27" t="str">
        <f t="shared" si="9"/>
        <v/>
      </c>
      <c r="N14" s="27" t="str">
        <f t="shared" si="10"/>
        <v>000000000000000</v>
      </c>
      <c r="O14" s="20" t="str">
        <f t="shared" si="4"/>
        <v>000</v>
      </c>
      <c r="P14" s="20" t="str">
        <f t="shared" si="5"/>
        <v>00000</v>
      </c>
      <c r="Q14" s="26" t="str">
        <f t="shared" si="6"/>
        <v xml:space="preserve"> 000000000000</v>
      </c>
      <c r="R14" s="20" t="str">
        <f t="shared" si="7"/>
        <v xml:space="preserve"> </v>
      </c>
      <c r="S14" s="10"/>
      <c r="T14" s="36" t="str">
        <f>IF($A14="S",(_xlfn.CONCAT(
REGISTRO_DETALHE!$I$4:$I$6,
'C.C.ITAU'!$B14,
REGISTRO_DETALHE!$I$8:$I$10,
'C.C.ITAU'!$O14:$R14,
'C.C.ITAU'!$L14,
REGISTRO_DETALHE!$I$14:$I$19,
'C.C.ITAU'!$N14,
REGISTRO_DETALHE!$I$21:$I$23,
'C.C.ITAU'!$N14,
REGISTRO_DETALHE!$I$25:$I$26,
'C.C.ITAU'!$M14,
REGISTRO_DETALHE!$I$28:$I$32))," ")</f>
        <v xml:space="preserve"> </v>
      </c>
      <c r="U14" s="10"/>
    </row>
    <row r="15" spans="1:21" s="16" customFormat="1" ht="21.95" customHeight="1" x14ac:dyDescent="0.25">
      <c r="A15" s="33" t="str">
        <f t="shared" si="8"/>
        <v>N</v>
      </c>
      <c r="B15" s="17" t="str">
        <f t="shared" si="1"/>
        <v/>
      </c>
      <c r="C15" s="53"/>
      <c r="D15" s="54"/>
      <c r="E15" s="55"/>
      <c r="F15" s="56"/>
      <c r="G15" s="57"/>
      <c r="H15" s="57"/>
      <c r="I15" s="59"/>
      <c r="J15" s="60"/>
      <c r="K15" s="10"/>
      <c r="L15" s="25" t="str">
        <f t="shared" si="11"/>
        <v xml:space="preserve">                              </v>
      </c>
      <c r="M15" s="27" t="str">
        <f t="shared" si="9"/>
        <v/>
      </c>
      <c r="N15" s="27" t="str">
        <f t="shared" si="10"/>
        <v>000000000000000</v>
      </c>
      <c r="O15" s="20" t="str">
        <f t="shared" si="4"/>
        <v>000</v>
      </c>
      <c r="P15" s="20" t="str">
        <f t="shared" si="5"/>
        <v>00000</v>
      </c>
      <c r="Q15" s="26" t="str">
        <f t="shared" si="6"/>
        <v xml:space="preserve"> 000000000000</v>
      </c>
      <c r="R15" s="20" t="str">
        <f t="shared" si="7"/>
        <v xml:space="preserve"> </v>
      </c>
      <c r="S15" s="10"/>
      <c r="T15" s="36" t="str">
        <f>IF($A15="S",(_xlfn.CONCAT(
REGISTRO_DETALHE!$I$4:$I$6,
'C.C.ITAU'!$B15,
REGISTRO_DETALHE!$I$8:$I$10,
'C.C.ITAU'!$O15:$R15,
'C.C.ITAU'!$L15,
REGISTRO_DETALHE!$I$14:$I$19,
'C.C.ITAU'!$N15,
REGISTRO_DETALHE!$I$21:$I$23,
'C.C.ITAU'!$N15,
REGISTRO_DETALHE!$I$25:$I$26,
'C.C.ITAU'!$M15,
REGISTRO_DETALHE!$I$28:$I$32))," ")</f>
        <v xml:space="preserve"> </v>
      </c>
      <c r="U15" s="10"/>
    </row>
    <row r="16" spans="1:21" s="16" customFormat="1" ht="21.95" customHeight="1" x14ac:dyDescent="0.25">
      <c r="A16" s="33" t="str">
        <f t="shared" si="8"/>
        <v>N</v>
      </c>
      <c r="B16" s="17" t="str">
        <f t="shared" si="1"/>
        <v/>
      </c>
      <c r="C16" s="53"/>
      <c r="D16" s="54"/>
      <c r="E16" s="55"/>
      <c r="F16" s="56"/>
      <c r="G16" s="57"/>
      <c r="H16" s="58"/>
      <c r="I16" s="59"/>
      <c r="J16" s="60"/>
      <c r="K16" s="10"/>
      <c r="L16" s="25" t="str">
        <f t="shared" si="11"/>
        <v xml:space="preserve">                              </v>
      </c>
      <c r="M16" s="27" t="str">
        <f t="shared" si="9"/>
        <v/>
      </c>
      <c r="N16" s="27" t="str">
        <f t="shared" si="10"/>
        <v>000000000000000</v>
      </c>
      <c r="O16" s="20" t="str">
        <f t="shared" si="4"/>
        <v>000</v>
      </c>
      <c r="P16" s="20" t="str">
        <f t="shared" si="5"/>
        <v>00000</v>
      </c>
      <c r="Q16" s="26" t="str">
        <f t="shared" si="6"/>
        <v xml:space="preserve"> 000000000000</v>
      </c>
      <c r="R16" s="20" t="str">
        <f t="shared" si="7"/>
        <v xml:space="preserve"> </v>
      </c>
      <c r="S16" s="10"/>
      <c r="T16" s="36" t="str">
        <f>IF($A16="S",(_xlfn.CONCAT(
REGISTRO_DETALHE!$I$4:$I$6,
'C.C.ITAU'!$B16,
REGISTRO_DETALHE!$I$8:$I$10,
'C.C.ITAU'!$O16:$R16,
'C.C.ITAU'!$L16,
REGISTRO_DETALHE!$I$14:$I$19,
'C.C.ITAU'!$N16,
REGISTRO_DETALHE!$I$21:$I$23,
'C.C.ITAU'!$N16,
REGISTRO_DETALHE!$I$25:$I$26,
'C.C.ITAU'!$M16,
REGISTRO_DETALHE!$I$28:$I$32))," ")</f>
        <v xml:space="preserve"> </v>
      </c>
      <c r="U16" s="10"/>
    </row>
    <row r="17" spans="1:21" s="16" customFormat="1" ht="21.95" customHeight="1" x14ac:dyDescent="0.25">
      <c r="A17" s="33" t="str">
        <f t="shared" si="8"/>
        <v>N</v>
      </c>
      <c r="B17" s="17" t="str">
        <f t="shared" si="1"/>
        <v/>
      </c>
      <c r="C17" s="53"/>
      <c r="D17" s="54"/>
      <c r="E17" s="55"/>
      <c r="F17" s="56"/>
      <c r="G17" s="57"/>
      <c r="H17" s="58"/>
      <c r="I17" s="61"/>
      <c r="J17" s="60"/>
      <c r="K17" s="10"/>
      <c r="L17" s="25" t="str">
        <f t="shared" si="11"/>
        <v xml:space="preserve">                              </v>
      </c>
      <c r="M17" s="27" t="str">
        <f t="shared" si="9"/>
        <v/>
      </c>
      <c r="N17" s="27" t="str">
        <f t="shared" si="10"/>
        <v>000000000000000</v>
      </c>
      <c r="O17" s="20" t="str">
        <f t="shared" si="4"/>
        <v>000</v>
      </c>
      <c r="P17" s="20" t="str">
        <f t="shared" si="5"/>
        <v>00000</v>
      </c>
      <c r="Q17" s="26" t="str">
        <f t="shared" si="6"/>
        <v xml:space="preserve"> 000000000000</v>
      </c>
      <c r="R17" s="20" t="str">
        <f t="shared" si="7"/>
        <v xml:space="preserve"> </v>
      </c>
      <c r="S17" s="10"/>
      <c r="T17" s="36" t="str">
        <f>IF($A17="S",(_xlfn.CONCAT(
REGISTRO_DETALHE!$I$4:$I$6,
'C.C.ITAU'!$B17,
REGISTRO_DETALHE!$I$8:$I$10,
'C.C.ITAU'!$O17:$R17,
'C.C.ITAU'!$L17,
REGISTRO_DETALHE!$I$14:$I$19,
'C.C.ITAU'!$N17,
REGISTRO_DETALHE!$I$21:$I$23,
'C.C.ITAU'!$N17,
REGISTRO_DETALHE!$I$25:$I$26,
'C.C.ITAU'!$M17,
REGISTRO_DETALHE!$I$28:$I$32))," ")</f>
        <v xml:space="preserve"> </v>
      </c>
      <c r="U17" s="10"/>
    </row>
    <row r="18" spans="1:21" s="16" customFormat="1" ht="21.95" customHeight="1" x14ac:dyDescent="0.25">
      <c r="A18" s="33" t="str">
        <f t="shared" si="8"/>
        <v>N</v>
      </c>
      <c r="B18" s="17" t="str">
        <f t="shared" si="1"/>
        <v/>
      </c>
      <c r="C18" s="53"/>
      <c r="D18" s="54"/>
      <c r="E18" s="55"/>
      <c r="F18" s="56"/>
      <c r="G18" s="57"/>
      <c r="H18" s="57"/>
      <c r="I18" s="59"/>
      <c r="J18" s="60"/>
      <c r="K18" s="10"/>
      <c r="L18" s="25" t="str">
        <f t="shared" si="11"/>
        <v xml:space="preserve">                              </v>
      </c>
      <c r="M18" s="27" t="str">
        <f t="shared" si="9"/>
        <v/>
      </c>
      <c r="N18" s="27" t="str">
        <f t="shared" si="10"/>
        <v>000000000000000</v>
      </c>
      <c r="O18" s="20" t="str">
        <f t="shared" si="4"/>
        <v>000</v>
      </c>
      <c r="P18" s="20" t="str">
        <f t="shared" si="5"/>
        <v>00000</v>
      </c>
      <c r="Q18" s="26" t="str">
        <f t="shared" si="6"/>
        <v xml:space="preserve"> 000000000000</v>
      </c>
      <c r="R18" s="20" t="str">
        <f t="shared" si="7"/>
        <v xml:space="preserve"> </v>
      </c>
      <c r="S18" s="10"/>
      <c r="T18" s="36" t="str">
        <f>IF($A18="S",(_xlfn.CONCAT(
REGISTRO_DETALHE!$I$4:$I$6,
'C.C.ITAU'!$B18,
REGISTRO_DETALHE!$I$8:$I$10,
'C.C.ITAU'!$O18:$R18,
'C.C.ITAU'!$L18,
REGISTRO_DETALHE!$I$14:$I$19,
'C.C.ITAU'!$N18,
REGISTRO_DETALHE!$I$21:$I$23,
'C.C.ITAU'!$N18,
REGISTRO_DETALHE!$I$25:$I$26,
'C.C.ITAU'!$M18,
REGISTRO_DETALHE!$I$28:$I$32))," ")</f>
        <v xml:space="preserve"> </v>
      </c>
      <c r="U18" s="10"/>
    </row>
    <row r="19" spans="1:21" s="16" customFormat="1" ht="21.95" customHeight="1" x14ac:dyDescent="0.25">
      <c r="A19" s="33" t="str">
        <f t="shared" si="8"/>
        <v>N</v>
      </c>
      <c r="B19" s="17" t="str">
        <f t="shared" si="1"/>
        <v/>
      </c>
      <c r="C19" s="53"/>
      <c r="D19" s="54"/>
      <c r="E19" s="55"/>
      <c r="F19" s="56"/>
      <c r="G19" s="57"/>
      <c r="H19" s="57"/>
      <c r="I19" s="59"/>
      <c r="J19" s="60"/>
      <c r="K19" s="10"/>
      <c r="L19" s="25" t="str">
        <f t="shared" si="11"/>
        <v xml:space="preserve">                              </v>
      </c>
      <c r="M19" s="27" t="str">
        <f t="shared" si="9"/>
        <v/>
      </c>
      <c r="N19" s="27" t="str">
        <f t="shared" si="10"/>
        <v>000000000000000</v>
      </c>
      <c r="O19" s="20" t="str">
        <f t="shared" si="4"/>
        <v>000</v>
      </c>
      <c r="P19" s="20" t="str">
        <f t="shared" si="5"/>
        <v>00000</v>
      </c>
      <c r="Q19" s="26" t="str">
        <f t="shared" si="6"/>
        <v xml:space="preserve"> 000000000000</v>
      </c>
      <c r="R19" s="20" t="str">
        <f t="shared" si="7"/>
        <v xml:space="preserve"> </v>
      </c>
      <c r="S19" s="10"/>
      <c r="T19" s="36" t="str">
        <f>IF($A19="S",(_xlfn.CONCAT(
REGISTRO_DETALHE!$I$4:$I$6,
'C.C.ITAU'!$B19,
REGISTRO_DETALHE!$I$8:$I$10,
'C.C.ITAU'!$O19:$R19,
'C.C.ITAU'!$L19,
REGISTRO_DETALHE!$I$14:$I$19,
'C.C.ITAU'!$N19,
REGISTRO_DETALHE!$I$21:$I$23,
'C.C.ITAU'!$N19,
REGISTRO_DETALHE!$I$25:$I$26,
'C.C.ITAU'!$M19,
REGISTRO_DETALHE!$I$28:$I$32))," ")</f>
        <v xml:space="preserve"> </v>
      </c>
      <c r="U19" s="10"/>
    </row>
    <row r="20" spans="1:21" s="16" customFormat="1" ht="21.95" customHeight="1" x14ac:dyDescent="0.25">
      <c r="A20" s="33" t="str">
        <f t="shared" si="8"/>
        <v>N</v>
      </c>
      <c r="B20" s="17" t="str">
        <f t="shared" si="1"/>
        <v/>
      </c>
      <c r="C20" s="53"/>
      <c r="D20" s="54"/>
      <c r="E20" s="55"/>
      <c r="F20" s="56"/>
      <c r="G20" s="57"/>
      <c r="H20" s="57"/>
      <c r="I20" s="59"/>
      <c r="J20" s="60"/>
      <c r="K20" s="10"/>
      <c r="L20" s="25" t="str">
        <f t="shared" si="11"/>
        <v xml:space="preserve">                              </v>
      </c>
      <c r="M20" s="27" t="str">
        <f t="shared" si="9"/>
        <v/>
      </c>
      <c r="N20" s="27" t="str">
        <f t="shared" si="10"/>
        <v>000000000000000</v>
      </c>
      <c r="O20" s="20" t="str">
        <f t="shared" si="4"/>
        <v>000</v>
      </c>
      <c r="P20" s="20" t="str">
        <f t="shared" si="5"/>
        <v>00000</v>
      </c>
      <c r="Q20" s="26" t="str">
        <f t="shared" si="6"/>
        <v xml:space="preserve"> 000000000000</v>
      </c>
      <c r="R20" s="20" t="str">
        <f t="shared" si="7"/>
        <v xml:space="preserve"> </v>
      </c>
      <c r="S20" s="10"/>
      <c r="T20" s="36" t="str">
        <f>IF($A20="S",(_xlfn.CONCAT(
REGISTRO_DETALHE!$I$4:$I$6,
'C.C.ITAU'!$B20,
REGISTRO_DETALHE!$I$8:$I$10,
'C.C.ITAU'!$O20:$R20,
'C.C.ITAU'!$L20,
REGISTRO_DETALHE!$I$14:$I$19,
'C.C.ITAU'!$N20,
REGISTRO_DETALHE!$I$21:$I$23,
'C.C.ITAU'!$N20,
REGISTRO_DETALHE!$I$25:$I$26,
'C.C.ITAU'!$M20,
REGISTRO_DETALHE!$I$28:$I$32))," ")</f>
        <v xml:space="preserve"> </v>
      </c>
      <c r="U20" s="10"/>
    </row>
    <row r="21" spans="1:21" s="16" customFormat="1" ht="21.95" customHeight="1" x14ac:dyDescent="0.25">
      <c r="A21" s="33" t="str">
        <f t="shared" si="8"/>
        <v>N</v>
      </c>
      <c r="B21" s="17" t="str">
        <f t="shared" si="1"/>
        <v/>
      </c>
      <c r="C21" s="53"/>
      <c r="D21" s="54"/>
      <c r="E21" s="55"/>
      <c r="F21" s="56"/>
      <c r="G21" s="57"/>
      <c r="H21" s="57"/>
      <c r="I21" s="59"/>
      <c r="J21" s="60"/>
      <c r="K21" s="10"/>
      <c r="L21" s="25" t="str">
        <f t="shared" si="11"/>
        <v xml:space="preserve">                              </v>
      </c>
      <c r="M21" s="27" t="str">
        <f t="shared" si="9"/>
        <v/>
      </c>
      <c r="N21" s="27" t="str">
        <f t="shared" si="10"/>
        <v>000000000000000</v>
      </c>
      <c r="O21" s="20" t="str">
        <f t="shared" si="4"/>
        <v>000</v>
      </c>
      <c r="P21" s="20" t="str">
        <f t="shared" si="5"/>
        <v>00000</v>
      </c>
      <c r="Q21" s="26" t="str">
        <f t="shared" si="6"/>
        <v xml:space="preserve"> 000000000000</v>
      </c>
      <c r="R21" s="20" t="str">
        <f t="shared" si="7"/>
        <v xml:space="preserve"> </v>
      </c>
      <c r="S21" s="10"/>
      <c r="T21" s="36" t="str">
        <f>IF($A21="S",(_xlfn.CONCAT(
REGISTRO_DETALHE!$I$4:$I$6,
'C.C.ITAU'!$B21,
REGISTRO_DETALHE!$I$8:$I$10,
'C.C.ITAU'!$O21:$R21,
'C.C.ITAU'!$L21,
REGISTRO_DETALHE!$I$14:$I$19,
'C.C.ITAU'!$N21,
REGISTRO_DETALHE!$I$21:$I$23,
'C.C.ITAU'!$N21,
REGISTRO_DETALHE!$I$25:$I$26,
'C.C.ITAU'!$M21,
REGISTRO_DETALHE!$I$28:$I$32))," ")</f>
        <v xml:space="preserve"> </v>
      </c>
      <c r="U21" s="10"/>
    </row>
    <row r="22" spans="1:21" s="16" customFormat="1" ht="21.95" customHeight="1" x14ac:dyDescent="0.25">
      <c r="A22" s="33" t="str">
        <f t="shared" si="8"/>
        <v>N</v>
      </c>
      <c r="B22" s="17" t="str">
        <f t="shared" si="1"/>
        <v/>
      </c>
      <c r="C22" s="53"/>
      <c r="D22" s="54"/>
      <c r="E22" s="55"/>
      <c r="F22" s="56"/>
      <c r="G22" s="57"/>
      <c r="H22" s="57"/>
      <c r="I22" s="59"/>
      <c r="J22" s="60"/>
      <c r="K22" s="10"/>
      <c r="L22" s="25" t="str">
        <f t="shared" si="11"/>
        <v xml:space="preserve">                              </v>
      </c>
      <c r="M22" s="27" t="str">
        <f t="shared" si="9"/>
        <v/>
      </c>
      <c r="N22" s="27" t="str">
        <f t="shared" si="10"/>
        <v>000000000000000</v>
      </c>
      <c r="O22" s="20" t="str">
        <f t="shared" si="4"/>
        <v>000</v>
      </c>
      <c r="P22" s="20" t="str">
        <f t="shared" si="5"/>
        <v>00000</v>
      </c>
      <c r="Q22" s="26" t="str">
        <f t="shared" si="6"/>
        <v xml:space="preserve"> 000000000000</v>
      </c>
      <c r="R22" s="20" t="str">
        <f t="shared" si="7"/>
        <v xml:space="preserve"> </v>
      </c>
      <c r="S22" s="10"/>
      <c r="T22" s="36" t="str">
        <f>IF($A22="S",(_xlfn.CONCAT(
REGISTRO_DETALHE!$I$4:$I$6,
'C.C.ITAU'!$B22,
REGISTRO_DETALHE!$I$8:$I$10,
'C.C.ITAU'!$O22:$R22,
'C.C.ITAU'!$L22,
REGISTRO_DETALHE!$I$14:$I$19,
'C.C.ITAU'!$N22,
REGISTRO_DETALHE!$I$21:$I$23,
'C.C.ITAU'!$N22,
REGISTRO_DETALHE!$I$25:$I$26,
'C.C.ITAU'!$M22,
REGISTRO_DETALHE!$I$28:$I$32))," ")</f>
        <v xml:space="preserve"> </v>
      </c>
      <c r="U22" s="10"/>
    </row>
    <row r="23" spans="1:21" s="16" customFormat="1" ht="21.95" customHeight="1" x14ac:dyDescent="0.25">
      <c r="A23" s="33" t="str">
        <f t="shared" si="8"/>
        <v>N</v>
      </c>
      <c r="B23" s="17" t="str">
        <f t="shared" si="1"/>
        <v/>
      </c>
      <c r="C23" s="53"/>
      <c r="D23" s="54"/>
      <c r="E23" s="55"/>
      <c r="F23" s="56"/>
      <c r="G23" s="57"/>
      <c r="H23" s="57"/>
      <c r="I23" s="59"/>
      <c r="J23" s="60"/>
      <c r="K23" s="10"/>
      <c r="L23" s="25" t="str">
        <f t="shared" si="11"/>
        <v xml:space="preserve">                              </v>
      </c>
      <c r="M23" s="27" t="str">
        <f t="shared" si="9"/>
        <v/>
      </c>
      <c r="N23" s="27" t="str">
        <f t="shared" si="10"/>
        <v>000000000000000</v>
      </c>
      <c r="O23" s="20" t="str">
        <f t="shared" si="4"/>
        <v>000</v>
      </c>
      <c r="P23" s="20" t="str">
        <f t="shared" si="5"/>
        <v>00000</v>
      </c>
      <c r="Q23" s="26" t="str">
        <f t="shared" si="6"/>
        <v xml:space="preserve"> 000000000000</v>
      </c>
      <c r="R23" s="20" t="str">
        <f t="shared" si="7"/>
        <v xml:space="preserve"> </v>
      </c>
      <c r="S23" s="10"/>
      <c r="T23" s="36" t="str">
        <f>IF($A23="S",(_xlfn.CONCAT(
REGISTRO_DETALHE!$I$4:$I$6,
'C.C.ITAU'!$B23,
REGISTRO_DETALHE!$I$8:$I$10,
'C.C.ITAU'!$O23:$R23,
'C.C.ITAU'!$L23,
REGISTRO_DETALHE!$I$14:$I$19,
'C.C.ITAU'!$N23,
REGISTRO_DETALHE!$I$21:$I$23,
'C.C.ITAU'!$N23,
REGISTRO_DETALHE!$I$25:$I$26,
'C.C.ITAU'!$M23,
REGISTRO_DETALHE!$I$28:$I$32))," ")</f>
        <v xml:space="preserve"> </v>
      </c>
      <c r="U23" s="10"/>
    </row>
    <row r="24" spans="1:21" s="16" customFormat="1" ht="21.95" customHeight="1" x14ac:dyDescent="0.25">
      <c r="A24" s="33" t="str">
        <f t="shared" si="8"/>
        <v>N</v>
      </c>
      <c r="B24" s="17" t="str">
        <f t="shared" si="1"/>
        <v/>
      </c>
      <c r="C24" s="53"/>
      <c r="D24" s="54"/>
      <c r="E24" s="55"/>
      <c r="F24" s="56"/>
      <c r="G24" s="57"/>
      <c r="H24" s="57"/>
      <c r="I24" s="59"/>
      <c r="J24" s="60"/>
      <c r="K24" s="10"/>
      <c r="L24" s="25" t="str">
        <f t="shared" si="11"/>
        <v xml:space="preserve">                              </v>
      </c>
      <c r="M24" s="27" t="str">
        <f t="shared" si="9"/>
        <v/>
      </c>
      <c r="N24" s="27" t="str">
        <f t="shared" si="10"/>
        <v>000000000000000</v>
      </c>
      <c r="O24" s="20" t="str">
        <f t="shared" si="4"/>
        <v>000</v>
      </c>
      <c r="P24" s="20" t="str">
        <f t="shared" si="5"/>
        <v>00000</v>
      </c>
      <c r="Q24" s="26" t="str">
        <f t="shared" si="6"/>
        <v xml:space="preserve"> 000000000000</v>
      </c>
      <c r="R24" s="20" t="str">
        <f t="shared" si="7"/>
        <v xml:space="preserve"> </v>
      </c>
      <c r="S24" s="10"/>
      <c r="T24" s="36" t="str">
        <f>IF($A24="S",(_xlfn.CONCAT(
REGISTRO_DETALHE!$I$4:$I$6,
'C.C.ITAU'!$B24,
REGISTRO_DETALHE!$I$8:$I$10,
'C.C.ITAU'!$O24:$R24,
'C.C.ITAU'!$L24,
REGISTRO_DETALHE!$I$14:$I$19,
'C.C.ITAU'!$N24,
REGISTRO_DETALHE!$I$21:$I$23,
'C.C.ITAU'!$N24,
REGISTRO_DETALHE!$I$25:$I$26,
'C.C.ITAU'!$M24,
REGISTRO_DETALHE!$I$28:$I$32))," ")</f>
        <v xml:space="preserve"> </v>
      </c>
      <c r="U24" s="10"/>
    </row>
    <row r="25" spans="1:21" s="16" customFormat="1" ht="21.95" customHeight="1" x14ac:dyDescent="0.25">
      <c r="A25" s="33" t="str">
        <f t="shared" si="8"/>
        <v>N</v>
      </c>
      <c r="B25" s="17" t="str">
        <f t="shared" si="1"/>
        <v/>
      </c>
      <c r="C25" s="53"/>
      <c r="D25" s="54"/>
      <c r="E25" s="55"/>
      <c r="F25" s="56"/>
      <c r="G25" s="57"/>
      <c r="H25" s="58"/>
      <c r="I25" s="59"/>
      <c r="J25" s="60"/>
      <c r="K25" s="10"/>
      <c r="L25" s="25" t="str">
        <f t="shared" si="11"/>
        <v xml:space="preserve">                              </v>
      </c>
      <c r="M25" s="27" t="str">
        <f t="shared" si="9"/>
        <v/>
      </c>
      <c r="N25" s="27" t="str">
        <f t="shared" si="10"/>
        <v>000000000000000</v>
      </c>
      <c r="O25" s="20" t="str">
        <f t="shared" si="4"/>
        <v>000</v>
      </c>
      <c r="P25" s="20" t="str">
        <f t="shared" si="5"/>
        <v>00000</v>
      </c>
      <c r="Q25" s="26" t="str">
        <f t="shared" si="6"/>
        <v xml:space="preserve"> 000000000000</v>
      </c>
      <c r="R25" s="20" t="str">
        <f t="shared" si="7"/>
        <v xml:space="preserve"> </v>
      </c>
      <c r="S25" s="10"/>
      <c r="T25" s="36" t="str">
        <f>IF($A25="S",(_xlfn.CONCAT(
REGISTRO_DETALHE!$I$4:$I$6,
'C.C.ITAU'!$B25,
REGISTRO_DETALHE!$I$8:$I$10,
'C.C.ITAU'!$O25:$R25,
'C.C.ITAU'!$L25,
REGISTRO_DETALHE!$I$14:$I$19,
'C.C.ITAU'!$N25,
REGISTRO_DETALHE!$I$21:$I$23,
'C.C.ITAU'!$N25,
REGISTRO_DETALHE!$I$25:$I$26,
'C.C.ITAU'!$M25,
REGISTRO_DETALHE!$I$28:$I$32))," ")</f>
        <v xml:space="preserve"> </v>
      </c>
      <c r="U25" s="10"/>
    </row>
    <row r="26" spans="1:21" s="16" customFormat="1" ht="21.95" customHeight="1" x14ac:dyDescent="0.25">
      <c r="A26" s="33" t="str">
        <f t="shared" si="8"/>
        <v>N</v>
      </c>
      <c r="B26" s="17" t="str">
        <f t="shared" si="1"/>
        <v/>
      </c>
      <c r="C26" s="53"/>
      <c r="D26" s="54"/>
      <c r="E26" s="55"/>
      <c r="F26" s="56"/>
      <c r="G26" s="57"/>
      <c r="H26" s="57"/>
      <c r="I26" s="59"/>
      <c r="J26" s="60"/>
      <c r="K26" s="10"/>
      <c r="L26" s="25" t="str">
        <f t="shared" si="11"/>
        <v xml:space="preserve">                              </v>
      </c>
      <c r="M26" s="27" t="str">
        <f t="shared" si="9"/>
        <v/>
      </c>
      <c r="N26" s="27" t="str">
        <f t="shared" si="10"/>
        <v>000000000000000</v>
      </c>
      <c r="O26" s="20" t="str">
        <f t="shared" si="4"/>
        <v>000</v>
      </c>
      <c r="P26" s="20" t="str">
        <f t="shared" si="5"/>
        <v>00000</v>
      </c>
      <c r="Q26" s="26" t="str">
        <f t="shared" si="6"/>
        <v xml:space="preserve"> 000000000000</v>
      </c>
      <c r="R26" s="20" t="str">
        <f t="shared" si="7"/>
        <v xml:space="preserve"> </v>
      </c>
      <c r="S26" s="10"/>
      <c r="T26" s="36" t="str">
        <f>IF($A26="S",(_xlfn.CONCAT(
REGISTRO_DETALHE!$I$4:$I$6,
'C.C.ITAU'!$B26,
REGISTRO_DETALHE!$I$8:$I$10,
'C.C.ITAU'!$O26:$R26,
'C.C.ITAU'!$L26,
REGISTRO_DETALHE!$I$14:$I$19,
'C.C.ITAU'!$N26,
REGISTRO_DETALHE!$I$21:$I$23,
'C.C.ITAU'!$N26,
REGISTRO_DETALHE!$I$25:$I$26,
'C.C.ITAU'!$M26,
REGISTRO_DETALHE!$I$28:$I$32))," ")</f>
        <v xml:space="preserve"> </v>
      </c>
      <c r="U26" s="10"/>
    </row>
    <row r="27" spans="1:21" s="16" customFormat="1" ht="21.95" customHeight="1" x14ac:dyDescent="0.25">
      <c r="A27" s="33" t="str">
        <f t="shared" si="8"/>
        <v>N</v>
      </c>
      <c r="B27" s="17" t="str">
        <f t="shared" si="1"/>
        <v/>
      </c>
      <c r="C27" s="53"/>
      <c r="D27" s="54"/>
      <c r="E27" s="55"/>
      <c r="F27" s="56"/>
      <c r="G27" s="57"/>
      <c r="H27" s="57"/>
      <c r="I27" s="59"/>
      <c r="J27" s="60"/>
      <c r="K27" s="10"/>
      <c r="L27" s="25" t="str">
        <f t="shared" si="11"/>
        <v xml:space="preserve">                              </v>
      </c>
      <c r="M27" s="27" t="str">
        <f t="shared" si="9"/>
        <v/>
      </c>
      <c r="N27" s="27" t="str">
        <f t="shared" si="10"/>
        <v>000000000000000</v>
      </c>
      <c r="O27" s="20" t="str">
        <f t="shared" si="4"/>
        <v>000</v>
      </c>
      <c r="P27" s="20" t="str">
        <f t="shared" si="5"/>
        <v>00000</v>
      </c>
      <c r="Q27" s="26" t="str">
        <f t="shared" si="6"/>
        <v xml:space="preserve"> 000000000000</v>
      </c>
      <c r="R27" s="20" t="str">
        <f t="shared" si="7"/>
        <v xml:space="preserve"> </v>
      </c>
      <c r="S27" s="10"/>
      <c r="T27" s="36" t="str">
        <f>IF($A27="S",(_xlfn.CONCAT(
REGISTRO_DETALHE!$I$4:$I$6,
'C.C.ITAU'!$B27,
REGISTRO_DETALHE!$I$8:$I$10,
'C.C.ITAU'!$O27:$R27,
'C.C.ITAU'!$L27,
REGISTRO_DETALHE!$I$14:$I$19,
'C.C.ITAU'!$N27,
REGISTRO_DETALHE!$I$21:$I$23,
'C.C.ITAU'!$N27,
REGISTRO_DETALHE!$I$25:$I$26,
'C.C.ITAU'!$M27,
REGISTRO_DETALHE!$I$28:$I$32))," ")</f>
        <v xml:space="preserve"> </v>
      </c>
      <c r="U27" s="10"/>
    </row>
    <row r="28" spans="1:21" s="16" customFormat="1" ht="21.95" customHeight="1" x14ac:dyDescent="0.25">
      <c r="A28" s="33" t="str">
        <f t="shared" si="8"/>
        <v>N</v>
      </c>
      <c r="B28" s="17" t="str">
        <f t="shared" si="1"/>
        <v/>
      </c>
      <c r="C28" s="53"/>
      <c r="D28" s="54"/>
      <c r="E28" s="55"/>
      <c r="F28" s="56"/>
      <c r="G28" s="57"/>
      <c r="H28" s="57"/>
      <c r="I28" s="59"/>
      <c r="J28" s="60"/>
      <c r="K28" s="10"/>
      <c r="L28" s="25" t="str">
        <f t="shared" si="11"/>
        <v xml:space="preserve">                              </v>
      </c>
      <c r="M28" s="27" t="str">
        <f t="shared" si="9"/>
        <v/>
      </c>
      <c r="N28" s="27" t="str">
        <f t="shared" si="10"/>
        <v>000000000000000</v>
      </c>
      <c r="O28" s="20" t="str">
        <f t="shared" si="4"/>
        <v>000</v>
      </c>
      <c r="P28" s="20" t="str">
        <f t="shared" si="5"/>
        <v>00000</v>
      </c>
      <c r="Q28" s="26" t="str">
        <f t="shared" si="6"/>
        <v xml:space="preserve"> 000000000000</v>
      </c>
      <c r="R28" s="20" t="str">
        <f t="shared" si="7"/>
        <v xml:space="preserve"> </v>
      </c>
      <c r="S28" s="10"/>
      <c r="T28" s="36" t="str">
        <f>IF($A28="S",(_xlfn.CONCAT(
REGISTRO_DETALHE!$I$4:$I$6,
'C.C.ITAU'!$B28,
REGISTRO_DETALHE!$I$8:$I$10,
'C.C.ITAU'!$O28:$R28,
'C.C.ITAU'!$L28,
REGISTRO_DETALHE!$I$14:$I$19,
'C.C.ITAU'!$N28,
REGISTRO_DETALHE!$I$21:$I$23,
'C.C.ITAU'!$N28,
REGISTRO_DETALHE!$I$25:$I$26,
'C.C.ITAU'!$M28,
REGISTRO_DETALHE!$I$28:$I$32))," ")</f>
        <v xml:space="preserve"> </v>
      </c>
      <c r="U28" s="10"/>
    </row>
    <row r="29" spans="1:21" s="16" customFormat="1" ht="21.95" customHeight="1" x14ac:dyDescent="0.25">
      <c r="A29" s="33" t="str">
        <f t="shared" si="8"/>
        <v>N</v>
      </c>
      <c r="B29" s="17" t="str">
        <f t="shared" si="1"/>
        <v/>
      </c>
      <c r="C29" s="53"/>
      <c r="D29" s="54"/>
      <c r="E29" s="55"/>
      <c r="F29" s="56"/>
      <c r="G29" s="57"/>
      <c r="H29" s="57"/>
      <c r="I29" s="59"/>
      <c r="J29" s="60"/>
      <c r="K29" s="10"/>
      <c r="L29" s="25" t="str">
        <f t="shared" si="11"/>
        <v xml:space="preserve">                              </v>
      </c>
      <c r="M29" s="27" t="str">
        <f t="shared" si="9"/>
        <v/>
      </c>
      <c r="N29" s="27" t="str">
        <f t="shared" si="10"/>
        <v>000000000000000</v>
      </c>
      <c r="O29" s="20" t="str">
        <f t="shared" si="4"/>
        <v>000</v>
      </c>
      <c r="P29" s="20" t="str">
        <f t="shared" si="5"/>
        <v>00000</v>
      </c>
      <c r="Q29" s="26" t="str">
        <f t="shared" si="6"/>
        <v xml:space="preserve"> 000000000000</v>
      </c>
      <c r="R29" s="20" t="str">
        <f t="shared" si="7"/>
        <v xml:space="preserve"> </v>
      </c>
      <c r="S29" s="10"/>
      <c r="T29" s="36" t="str">
        <f>IF($A29="S",(_xlfn.CONCAT(
REGISTRO_DETALHE!$I$4:$I$6,
'C.C.ITAU'!$B29,
REGISTRO_DETALHE!$I$8:$I$10,
'C.C.ITAU'!$O29:$R29,
'C.C.ITAU'!$L29,
REGISTRO_DETALHE!$I$14:$I$19,
'C.C.ITAU'!$N29,
REGISTRO_DETALHE!$I$21:$I$23,
'C.C.ITAU'!$N29,
REGISTRO_DETALHE!$I$25:$I$26,
'C.C.ITAU'!$M29,
REGISTRO_DETALHE!$I$28:$I$32))," ")</f>
        <v xml:space="preserve"> </v>
      </c>
      <c r="U29" s="10"/>
    </row>
    <row r="30" spans="1:21" s="16" customFormat="1" ht="21.95" customHeight="1" x14ac:dyDescent="0.25">
      <c r="A30" s="33" t="str">
        <f t="shared" si="8"/>
        <v>N</v>
      </c>
      <c r="B30" s="17" t="str">
        <f t="shared" si="1"/>
        <v/>
      </c>
      <c r="C30" s="53"/>
      <c r="D30" s="54"/>
      <c r="E30" s="55"/>
      <c r="F30" s="56"/>
      <c r="G30" s="57"/>
      <c r="H30" s="57"/>
      <c r="I30" s="59"/>
      <c r="J30" s="60"/>
      <c r="K30" s="10"/>
      <c r="L30" s="25" t="str">
        <f t="shared" si="11"/>
        <v xml:space="preserve">                              </v>
      </c>
      <c r="M30" s="27" t="str">
        <f t="shared" si="9"/>
        <v/>
      </c>
      <c r="N30" s="27" t="str">
        <f t="shared" si="10"/>
        <v>000000000000000</v>
      </c>
      <c r="O30" s="20" t="str">
        <f t="shared" si="4"/>
        <v>000</v>
      </c>
      <c r="P30" s="20" t="str">
        <f t="shared" si="5"/>
        <v>00000</v>
      </c>
      <c r="Q30" s="26" t="str">
        <f t="shared" si="6"/>
        <v xml:space="preserve"> 000000000000</v>
      </c>
      <c r="R30" s="20" t="str">
        <f t="shared" si="7"/>
        <v xml:space="preserve"> </v>
      </c>
      <c r="S30" s="10"/>
      <c r="T30" s="36" t="str">
        <f>IF($A30="S",(_xlfn.CONCAT(
REGISTRO_DETALHE!$I$4:$I$6,
'C.C.ITAU'!$B30,
REGISTRO_DETALHE!$I$8:$I$10,
'C.C.ITAU'!$O30:$R30,
'C.C.ITAU'!$L30,
REGISTRO_DETALHE!$I$14:$I$19,
'C.C.ITAU'!$N30,
REGISTRO_DETALHE!$I$21:$I$23,
'C.C.ITAU'!$N30,
REGISTRO_DETALHE!$I$25:$I$26,
'C.C.ITAU'!$M30,
REGISTRO_DETALHE!$I$28:$I$32))," ")</f>
        <v xml:space="preserve"> </v>
      </c>
      <c r="U30" s="10"/>
    </row>
    <row r="31" spans="1:21" s="16" customFormat="1" ht="21.95" customHeight="1" x14ac:dyDescent="0.25">
      <c r="A31" s="33" t="str">
        <f t="shared" si="8"/>
        <v>N</v>
      </c>
      <c r="B31" s="17" t="str">
        <f t="shared" si="1"/>
        <v/>
      </c>
      <c r="C31" s="53"/>
      <c r="D31" s="54"/>
      <c r="E31" s="55"/>
      <c r="F31" s="56"/>
      <c r="G31" s="57"/>
      <c r="H31" s="57"/>
      <c r="I31" s="59"/>
      <c r="J31" s="60"/>
      <c r="K31" s="10"/>
      <c r="L31" s="25" t="str">
        <f t="shared" si="11"/>
        <v xml:space="preserve">                              </v>
      </c>
      <c r="M31" s="27" t="str">
        <f t="shared" si="9"/>
        <v/>
      </c>
      <c r="N31" s="27" t="str">
        <f t="shared" si="10"/>
        <v>000000000000000</v>
      </c>
      <c r="O31" s="20" t="str">
        <f t="shared" si="4"/>
        <v>000</v>
      </c>
      <c r="P31" s="20" t="str">
        <f t="shared" si="5"/>
        <v>00000</v>
      </c>
      <c r="Q31" s="26" t="str">
        <f t="shared" si="6"/>
        <v xml:space="preserve"> 000000000000</v>
      </c>
      <c r="R31" s="20" t="str">
        <f t="shared" si="7"/>
        <v xml:space="preserve"> </v>
      </c>
      <c r="S31" s="10"/>
      <c r="T31" s="36" t="str">
        <f>IF($A31="S",(_xlfn.CONCAT(
REGISTRO_DETALHE!$I$4:$I$6,
'C.C.ITAU'!$B31,
REGISTRO_DETALHE!$I$8:$I$10,
'C.C.ITAU'!$O31:$R31,
'C.C.ITAU'!$L31,
REGISTRO_DETALHE!$I$14:$I$19,
'C.C.ITAU'!$N31,
REGISTRO_DETALHE!$I$21:$I$23,
'C.C.ITAU'!$N31,
REGISTRO_DETALHE!$I$25:$I$26,
'C.C.ITAU'!$M31,
REGISTRO_DETALHE!$I$28:$I$32))," ")</f>
        <v xml:space="preserve"> </v>
      </c>
      <c r="U31" s="10"/>
    </row>
    <row r="32" spans="1:21" s="16" customFormat="1" ht="21.95" customHeight="1" x14ac:dyDescent="0.25">
      <c r="A32" s="33" t="str">
        <f t="shared" si="8"/>
        <v>N</v>
      </c>
      <c r="B32" s="17" t="str">
        <f t="shared" si="1"/>
        <v/>
      </c>
      <c r="C32" s="53"/>
      <c r="D32" s="54"/>
      <c r="E32" s="55"/>
      <c r="F32" s="56"/>
      <c r="G32" s="57"/>
      <c r="H32" s="57"/>
      <c r="I32" s="59"/>
      <c r="J32" s="60"/>
      <c r="K32" s="10"/>
      <c r="L32" s="25" t="str">
        <f t="shared" si="11"/>
        <v xml:space="preserve">                              </v>
      </c>
      <c r="M32" s="27" t="str">
        <f t="shared" si="9"/>
        <v/>
      </c>
      <c r="N32" s="27" t="str">
        <f t="shared" si="10"/>
        <v>000000000000000</v>
      </c>
      <c r="O32" s="20" t="str">
        <f t="shared" si="4"/>
        <v>000</v>
      </c>
      <c r="P32" s="20" t="str">
        <f t="shared" si="5"/>
        <v>00000</v>
      </c>
      <c r="Q32" s="26" t="str">
        <f t="shared" si="6"/>
        <v xml:space="preserve"> 000000000000</v>
      </c>
      <c r="R32" s="20" t="str">
        <f t="shared" si="7"/>
        <v xml:space="preserve"> </v>
      </c>
      <c r="S32" s="10"/>
      <c r="T32" s="36" t="str">
        <f>IF($A32="S",(_xlfn.CONCAT(
REGISTRO_DETALHE!$I$4:$I$6,
'C.C.ITAU'!$B32,
REGISTRO_DETALHE!$I$8:$I$10,
'C.C.ITAU'!$O32:$R32,
'C.C.ITAU'!$L32,
REGISTRO_DETALHE!$I$14:$I$19,
'C.C.ITAU'!$N32,
REGISTRO_DETALHE!$I$21:$I$23,
'C.C.ITAU'!$N32,
REGISTRO_DETALHE!$I$25:$I$26,
'C.C.ITAU'!$M32,
REGISTRO_DETALHE!$I$28:$I$32))," ")</f>
        <v xml:space="preserve"> </v>
      </c>
      <c r="U32" s="10"/>
    </row>
    <row r="33" spans="1:21" s="16" customFormat="1" ht="21.95" customHeight="1" x14ac:dyDescent="0.25">
      <c r="A33" s="33" t="str">
        <f t="shared" si="8"/>
        <v>N</v>
      </c>
      <c r="B33" s="17" t="str">
        <f t="shared" si="1"/>
        <v/>
      </c>
      <c r="C33" s="53"/>
      <c r="D33" s="54"/>
      <c r="E33" s="55"/>
      <c r="F33" s="56"/>
      <c r="G33" s="57"/>
      <c r="H33" s="57"/>
      <c r="I33" s="59"/>
      <c r="J33" s="60"/>
      <c r="K33" s="10"/>
      <c r="L33" s="25" t="str">
        <f t="shared" si="11"/>
        <v xml:space="preserve">                              </v>
      </c>
      <c r="M33" s="27" t="str">
        <f t="shared" si="9"/>
        <v/>
      </c>
      <c r="N33" s="27" t="str">
        <f t="shared" si="10"/>
        <v>000000000000000</v>
      </c>
      <c r="O33" s="20" t="str">
        <f t="shared" si="4"/>
        <v>000</v>
      </c>
      <c r="P33" s="20" t="str">
        <f t="shared" si="5"/>
        <v>00000</v>
      </c>
      <c r="Q33" s="26" t="str">
        <f t="shared" si="6"/>
        <v xml:space="preserve"> 000000000000</v>
      </c>
      <c r="R33" s="20" t="str">
        <f t="shared" si="7"/>
        <v xml:space="preserve"> </v>
      </c>
      <c r="S33" s="10"/>
      <c r="T33" s="36" t="str">
        <f>IF($A33="S",(_xlfn.CONCAT(
REGISTRO_DETALHE!$I$4:$I$6,
'C.C.ITAU'!$B33,
REGISTRO_DETALHE!$I$8:$I$10,
'C.C.ITAU'!$O33:$R33,
'C.C.ITAU'!$L33,
REGISTRO_DETALHE!$I$14:$I$19,
'C.C.ITAU'!$N33,
REGISTRO_DETALHE!$I$21:$I$23,
'C.C.ITAU'!$N33,
REGISTRO_DETALHE!$I$25:$I$26,
'C.C.ITAU'!$M33,
REGISTRO_DETALHE!$I$28:$I$32))," ")</f>
        <v xml:space="preserve"> </v>
      </c>
      <c r="U33" s="10"/>
    </row>
    <row r="34" spans="1:21" s="16" customFormat="1" ht="21.95" customHeight="1" x14ac:dyDescent="0.25">
      <c r="A34" s="33" t="str">
        <f t="shared" si="8"/>
        <v>N</v>
      </c>
      <c r="B34" s="17" t="str">
        <f t="shared" si="1"/>
        <v/>
      </c>
      <c r="C34" s="53"/>
      <c r="D34" s="54"/>
      <c r="E34" s="55"/>
      <c r="F34" s="56"/>
      <c r="G34" s="57"/>
      <c r="H34" s="57"/>
      <c r="I34" s="59"/>
      <c r="J34" s="60"/>
      <c r="K34" s="10"/>
      <c r="L34" s="25" t="str">
        <f t="shared" si="11"/>
        <v xml:space="preserve">                              </v>
      </c>
      <c r="M34" s="27" t="str">
        <f t="shared" si="9"/>
        <v/>
      </c>
      <c r="N34" s="27" t="str">
        <f t="shared" si="10"/>
        <v>000000000000000</v>
      </c>
      <c r="O34" s="20" t="str">
        <f t="shared" si="4"/>
        <v>000</v>
      </c>
      <c r="P34" s="20" t="str">
        <f t="shared" si="5"/>
        <v>00000</v>
      </c>
      <c r="Q34" s="26" t="str">
        <f t="shared" si="6"/>
        <v xml:space="preserve"> 000000000000</v>
      </c>
      <c r="R34" s="20" t="str">
        <f t="shared" si="7"/>
        <v xml:space="preserve"> </v>
      </c>
      <c r="S34" s="10"/>
      <c r="T34" s="36" t="str">
        <f>IF($A34="S",(_xlfn.CONCAT(
REGISTRO_DETALHE!$I$4:$I$6,
'C.C.ITAU'!$B34,
REGISTRO_DETALHE!$I$8:$I$10,
'C.C.ITAU'!$O34:$R34,
'C.C.ITAU'!$L34,
REGISTRO_DETALHE!$I$14:$I$19,
'C.C.ITAU'!$N34,
REGISTRO_DETALHE!$I$21:$I$23,
'C.C.ITAU'!$N34,
REGISTRO_DETALHE!$I$25:$I$26,
'C.C.ITAU'!$M34,
REGISTRO_DETALHE!$I$28:$I$32))," ")</f>
        <v xml:space="preserve"> </v>
      </c>
      <c r="U34" s="10"/>
    </row>
    <row r="35" spans="1:21" s="16" customFormat="1" ht="21.95" customHeight="1" x14ac:dyDescent="0.25">
      <c r="A35" s="33" t="str">
        <f t="shared" si="8"/>
        <v>N</v>
      </c>
      <c r="B35" s="17" t="str">
        <f t="shared" si="1"/>
        <v/>
      </c>
      <c r="C35" s="53"/>
      <c r="D35" s="54"/>
      <c r="E35" s="55"/>
      <c r="F35" s="56"/>
      <c r="G35" s="57"/>
      <c r="H35" s="57"/>
      <c r="I35" s="59"/>
      <c r="J35" s="60"/>
      <c r="K35" s="10"/>
      <c r="L35" s="25" t="str">
        <f t="shared" si="11"/>
        <v xml:space="preserve">                              </v>
      </c>
      <c r="M35" s="27" t="str">
        <f t="shared" si="9"/>
        <v/>
      </c>
      <c r="N35" s="27" t="str">
        <f t="shared" si="10"/>
        <v>000000000000000</v>
      </c>
      <c r="O35" s="20" t="str">
        <f t="shared" si="4"/>
        <v>000</v>
      </c>
      <c r="P35" s="20" t="str">
        <f t="shared" si="5"/>
        <v>00000</v>
      </c>
      <c r="Q35" s="26" t="str">
        <f t="shared" si="6"/>
        <v xml:space="preserve"> 000000000000</v>
      </c>
      <c r="R35" s="20" t="str">
        <f t="shared" si="7"/>
        <v xml:space="preserve"> </v>
      </c>
      <c r="S35" s="10"/>
      <c r="T35" s="36" t="str">
        <f>IF($A35="S",(_xlfn.CONCAT(
REGISTRO_DETALHE!$I$4:$I$6,
'C.C.ITAU'!$B35,
REGISTRO_DETALHE!$I$8:$I$10,
'C.C.ITAU'!$O35:$R35,
'C.C.ITAU'!$L35,
REGISTRO_DETALHE!$I$14:$I$19,
'C.C.ITAU'!$N35,
REGISTRO_DETALHE!$I$21:$I$23,
'C.C.ITAU'!$N35,
REGISTRO_DETALHE!$I$25:$I$26,
'C.C.ITAU'!$M35,
REGISTRO_DETALHE!$I$28:$I$32))," ")</f>
        <v xml:space="preserve"> </v>
      </c>
      <c r="U35" s="10"/>
    </row>
    <row r="36" spans="1:21" s="16" customFormat="1" ht="21.95" customHeight="1" x14ac:dyDescent="0.25">
      <c r="A36" s="33" t="str">
        <f t="shared" si="8"/>
        <v>N</v>
      </c>
      <c r="B36" s="17" t="str">
        <f t="shared" si="1"/>
        <v/>
      </c>
      <c r="C36" s="53"/>
      <c r="D36" s="54"/>
      <c r="E36" s="55"/>
      <c r="F36" s="56"/>
      <c r="G36" s="57"/>
      <c r="H36" s="58"/>
      <c r="I36" s="59"/>
      <c r="J36" s="60"/>
      <c r="K36" s="10"/>
      <c r="L36" s="25" t="str">
        <f t="shared" si="11"/>
        <v xml:space="preserve">                              </v>
      </c>
      <c r="M36" s="27" t="str">
        <f t="shared" si="9"/>
        <v/>
      </c>
      <c r="N36" s="27" t="str">
        <f t="shared" si="10"/>
        <v>000000000000000</v>
      </c>
      <c r="O36" s="20" t="str">
        <f t="shared" si="4"/>
        <v>000</v>
      </c>
      <c r="P36" s="20" t="str">
        <f t="shared" si="5"/>
        <v>00000</v>
      </c>
      <c r="Q36" s="26" t="str">
        <f t="shared" si="6"/>
        <v xml:space="preserve"> 000000000000</v>
      </c>
      <c r="R36" s="20" t="str">
        <f t="shared" si="7"/>
        <v xml:space="preserve"> </v>
      </c>
      <c r="S36" s="10"/>
      <c r="T36" s="36" t="str">
        <f>IF($A36="S",(_xlfn.CONCAT(
REGISTRO_DETALHE!$I$4:$I$6,
'C.C.ITAU'!$B36,
REGISTRO_DETALHE!$I$8:$I$10,
'C.C.ITAU'!$O36:$R36,
'C.C.ITAU'!$L36,
REGISTRO_DETALHE!$I$14:$I$19,
'C.C.ITAU'!$N36,
REGISTRO_DETALHE!$I$21:$I$23,
'C.C.ITAU'!$N36,
REGISTRO_DETALHE!$I$25:$I$26,
'C.C.ITAU'!$M36,
REGISTRO_DETALHE!$I$28:$I$32))," ")</f>
        <v xml:space="preserve"> </v>
      </c>
      <c r="U36" s="10"/>
    </row>
    <row r="37" spans="1:21" s="16" customFormat="1" ht="21.95" customHeight="1" x14ac:dyDescent="0.25">
      <c r="A37" s="33" t="str">
        <f t="shared" si="8"/>
        <v>N</v>
      </c>
      <c r="B37" s="17" t="str">
        <f t="shared" si="1"/>
        <v/>
      </c>
      <c r="C37" s="53"/>
      <c r="D37" s="54"/>
      <c r="E37" s="55"/>
      <c r="F37" s="56"/>
      <c r="G37" s="57"/>
      <c r="H37" s="57"/>
      <c r="I37" s="59"/>
      <c r="J37" s="60"/>
      <c r="K37" s="10"/>
      <c r="L37" s="25" t="str">
        <f t="shared" si="11"/>
        <v xml:space="preserve">                              </v>
      </c>
      <c r="M37" s="27" t="str">
        <f t="shared" si="9"/>
        <v/>
      </c>
      <c r="N37" s="27" t="str">
        <f t="shared" si="10"/>
        <v>000000000000000</v>
      </c>
      <c r="O37" s="20" t="str">
        <f t="shared" si="4"/>
        <v>000</v>
      </c>
      <c r="P37" s="20" t="str">
        <f t="shared" si="5"/>
        <v>00000</v>
      </c>
      <c r="Q37" s="26" t="str">
        <f t="shared" si="6"/>
        <v xml:space="preserve"> 000000000000</v>
      </c>
      <c r="R37" s="20" t="str">
        <f t="shared" si="7"/>
        <v xml:space="preserve"> </v>
      </c>
      <c r="S37" s="10"/>
      <c r="T37" s="36" t="str">
        <f>IF($A37="S",(_xlfn.CONCAT(
REGISTRO_DETALHE!$I$4:$I$6,
'C.C.ITAU'!$B37,
REGISTRO_DETALHE!$I$8:$I$10,
'C.C.ITAU'!$O37:$R37,
'C.C.ITAU'!$L37,
REGISTRO_DETALHE!$I$14:$I$19,
'C.C.ITAU'!$N37,
REGISTRO_DETALHE!$I$21:$I$23,
'C.C.ITAU'!$N37,
REGISTRO_DETALHE!$I$25:$I$26,
'C.C.ITAU'!$M37,
REGISTRO_DETALHE!$I$28:$I$32))," ")</f>
        <v xml:space="preserve"> </v>
      </c>
      <c r="U37" s="10"/>
    </row>
    <row r="38" spans="1:21" s="16" customFormat="1" ht="21.95" customHeight="1" x14ac:dyDescent="0.25">
      <c r="A38" s="33" t="str">
        <f t="shared" si="8"/>
        <v>N</v>
      </c>
      <c r="B38" s="17" t="str">
        <f t="shared" si="1"/>
        <v/>
      </c>
      <c r="C38" s="53"/>
      <c r="D38" s="54"/>
      <c r="E38" s="55"/>
      <c r="F38" s="56"/>
      <c r="G38" s="57"/>
      <c r="H38" s="57"/>
      <c r="I38" s="59"/>
      <c r="J38" s="60"/>
      <c r="K38" s="10"/>
      <c r="L38" s="25" t="str">
        <f t="shared" si="11"/>
        <v xml:space="preserve">                              </v>
      </c>
      <c r="M38" s="27" t="str">
        <f t="shared" si="9"/>
        <v/>
      </c>
      <c r="N38" s="27" t="str">
        <f t="shared" si="10"/>
        <v>000000000000000</v>
      </c>
      <c r="O38" s="20" t="str">
        <f t="shared" si="4"/>
        <v>000</v>
      </c>
      <c r="P38" s="20" t="str">
        <f t="shared" si="5"/>
        <v>00000</v>
      </c>
      <c r="Q38" s="26" t="str">
        <f t="shared" si="6"/>
        <v xml:space="preserve"> 000000000000</v>
      </c>
      <c r="R38" s="20" t="str">
        <f t="shared" si="7"/>
        <v xml:space="preserve"> </v>
      </c>
      <c r="S38" s="10"/>
      <c r="T38" s="36" t="str">
        <f>IF($A38="S",(_xlfn.CONCAT(
REGISTRO_DETALHE!$I$4:$I$6,
'C.C.ITAU'!$B38,
REGISTRO_DETALHE!$I$8:$I$10,
'C.C.ITAU'!$O38:$R38,
'C.C.ITAU'!$L38,
REGISTRO_DETALHE!$I$14:$I$19,
'C.C.ITAU'!$N38,
REGISTRO_DETALHE!$I$21:$I$23,
'C.C.ITAU'!$N38,
REGISTRO_DETALHE!$I$25:$I$26,
'C.C.ITAU'!$M38,
REGISTRO_DETALHE!$I$28:$I$32))," ")</f>
        <v xml:space="preserve"> </v>
      </c>
      <c r="U38" s="10"/>
    </row>
    <row r="39" spans="1:21" s="16" customFormat="1" ht="21.95" customHeight="1" x14ac:dyDescent="0.25">
      <c r="A39" s="33" t="str">
        <f t="shared" si="8"/>
        <v>N</v>
      </c>
      <c r="B39" s="17" t="str">
        <f t="shared" si="1"/>
        <v/>
      </c>
      <c r="C39" s="53"/>
      <c r="D39" s="54"/>
      <c r="E39" s="55"/>
      <c r="F39" s="56"/>
      <c r="G39" s="57"/>
      <c r="H39" s="57"/>
      <c r="I39" s="59"/>
      <c r="J39" s="60"/>
      <c r="K39" s="10"/>
      <c r="L39" s="25" t="str">
        <f t="shared" si="11"/>
        <v xml:space="preserve">                              </v>
      </c>
      <c r="M39" s="27" t="str">
        <f t="shared" si="9"/>
        <v/>
      </c>
      <c r="N39" s="27" t="str">
        <f t="shared" si="10"/>
        <v>000000000000000</v>
      </c>
      <c r="O39" s="20" t="str">
        <f t="shared" si="4"/>
        <v>000</v>
      </c>
      <c r="P39" s="20" t="str">
        <f t="shared" si="5"/>
        <v>00000</v>
      </c>
      <c r="Q39" s="26" t="str">
        <f t="shared" si="6"/>
        <v xml:space="preserve"> 000000000000</v>
      </c>
      <c r="R39" s="20" t="str">
        <f t="shared" si="7"/>
        <v xml:space="preserve"> </v>
      </c>
      <c r="S39" s="10"/>
      <c r="T39" s="36" t="str">
        <f>IF($A39="S",(_xlfn.CONCAT(
REGISTRO_DETALHE!$I$4:$I$6,
'C.C.ITAU'!$B39,
REGISTRO_DETALHE!$I$8:$I$10,
'C.C.ITAU'!$O39:$R39,
'C.C.ITAU'!$L39,
REGISTRO_DETALHE!$I$14:$I$19,
'C.C.ITAU'!$N39,
REGISTRO_DETALHE!$I$21:$I$23,
'C.C.ITAU'!$N39,
REGISTRO_DETALHE!$I$25:$I$26,
'C.C.ITAU'!$M39,
REGISTRO_DETALHE!$I$28:$I$32))," ")</f>
        <v xml:space="preserve"> </v>
      </c>
      <c r="U39" s="10"/>
    </row>
    <row r="40" spans="1:21" s="16" customFormat="1" ht="21.95" customHeight="1" x14ac:dyDescent="0.25">
      <c r="A40" s="33" t="str">
        <f t="shared" si="8"/>
        <v>N</v>
      </c>
      <c r="B40" s="17" t="str">
        <f t="shared" si="1"/>
        <v/>
      </c>
      <c r="C40" s="53"/>
      <c r="D40" s="54"/>
      <c r="E40" s="55"/>
      <c r="F40" s="56"/>
      <c r="G40" s="57"/>
      <c r="H40" s="58"/>
      <c r="I40" s="59"/>
      <c r="J40" s="60"/>
      <c r="K40" s="10"/>
      <c r="L40" s="25" t="str">
        <f t="shared" si="11"/>
        <v xml:space="preserve">                              </v>
      </c>
      <c r="M40" s="27" t="str">
        <f t="shared" si="9"/>
        <v/>
      </c>
      <c r="N40" s="27" t="str">
        <f t="shared" si="10"/>
        <v>000000000000000</v>
      </c>
      <c r="O40" s="20" t="str">
        <f t="shared" si="4"/>
        <v>000</v>
      </c>
      <c r="P40" s="20" t="str">
        <f t="shared" si="5"/>
        <v>00000</v>
      </c>
      <c r="Q40" s="26" t="str">
        <f t="shared" si="6"/>
        <v xml:space="preserve"> 000000000000</v>
      </c>
      <c r="R40" s="20" t="str">
        <f t="shared" si="7"/>
        <v xml:space="preserve"> </v>
      </c>
      <c r="S40" s="10"/>
      <c r="T40" s="36" t="str">
        <f>IF($A40="S",(_xlfn.CONCAT(
REGISTRO_DETALHE!$I$4:$I$6,
'C.C.ITAU'!$B40,
REGISTRO_DETALHE!$I$8:$I$10,
'C.C.ITAU'!$O40:$R40,
'C.C.ITAU'!$L40,
REGISTRO_DETALHE!$I$14:$I$19,
'C.C.ITAU'!$N40,
REGISTRO_DETALHE!$I$21:$I$23,
'C.C.ITAU'!$N40,
REGISTRO_DETALHE!$I$25:$I$26,
'C.C.ITAU'!$M40,
REGISTRO_DETALHE!$I$28:$I$32))," ")</f>
        <v xml:space="preserve"> </v>
      </c>
      <c r="U40" s="10"/>
    </row>
    <row r="41" spans="1:21" s="16" customFormat="1" ht="21.95" customHeight="1" x14ac:dyDescent="0.25">
      <c r="A41" s="33" t="str">
        <f t="shared" si="8"/>
        <v>N</v>
      </c>
      <c r="B41" s="17" t="str">
        <f t="shared" si="1"/>
        <v/>
      </c>
      <c r="C41" s="53"/>
      <c r="D41" s="54"/>
      <c r="E41" s="55"/>
      <c r="F41" s="56"/>
      <c r="G41" s="57"/>
      <c r="H41" s="57"/>
      <c r="I41" s="59"/>
      <c r="J41" s="60"/>
      <c r="K41" s="10"/>
      <c r="L41" s="25" t="str">
        <f t="shared" si="11"/>
        <v xml:space="preserve">                              </v>
      </c>
      <c r="M41" s="27" t="str">
        <f t="shared" si="9"/>
        <v/>
      </c>
      <c r="N41" s="27" t="str">
        <f t="shared" si="10"/>
        <v>000000000000000</v>
      </c>
      <c r="O41" s="20" t="str">
        <f t="shared" si="4"/>
        <v>000</v>
      </c>
      <c r="P41" s="20" t="str">
        <f t="shared" si="5"/>
        <v>00000</v>
      </c>
      <c r="Q41" s="26" t="str">
        <f t="shared" si="6"/>
        <v xml:space="preserve"> 000000000000</v>
      </c>
      <c r="R41" s="20" t="str">
        <f t="shared" si="7"/>
        <v xml:space="preserve"> </v>
      </c>
      <c r="S41" s="10"/>
      <c r="T41" s="36" t="str">
        <f>IF($A41="S",(_xlfn.CONCAT(
REGISTRO_DETALHE!$I$4:$I$6,
'C.C.ITAU'!$B41,
REGISTRO_DETALHE!$I$8:$I$10,
'C.C.ITAU'!$O41:$R41,
'C.C.ITAU'!$L41,
REGISTRO_DETALHE!$I$14:$I$19,
'C.C.ITAU'!$N41,
REGISTRO_DETALHE!$I$21:$I$23,
'C.C.ITAU'!$N41,
REGISTRO_DETALHE!$I$25:$I$26,
'C.C.ITAU'!$M41,
REGISTRO_DETALHE!$I$28:$I$32))," ")</f>
        <v xml:space="preserve"> </v>
      </c>
      <c r="U41" s="10"/>
    </row>
    <row r="42" spans="1:21" s="16" customFormat="1" ht="21.95" customHeight="1" x14ac:dyDescent="0.25">
      <c r="A42" s="33" t="str">
        <f t="shared" si="8"/>
        <v>N</v>
      </c>
      <c r="B42" s="17" t="str">
        <f t="shared" si="1"/>
        <v/>
      </c>
      <c r="C42" s="53"/>
      <c r="D42" s="54"/>
      <c r="E42" s="55"/>
      <c r="F42" s="56"/>
      <c r="G42" s="57"/>
      <c r="H42" s="57"/>
      <c r="I42" s="59"/>
      <c r="J42" s="60"/>
      <c r="K42" s="10"/>
      <c r="L42" s="25" t="str">
        <f t="shared" si="11"/>
        <v xml:space="preserve">                              </v>
      </c>
      <c r="M42" s="27" t="str">
        <f t="shared" si="9"/>
        <v/>
      </c>
      <c r="N42" s="27" t="str">
        <f t="shared" si="10"/>
        <v>000000000000000</v>
      </c>
      <c r="O42" s="20" t="str">
        <f t="shared" si="4"/>
        <v>000</v>
      </c>
      <c r="P42" s="20" t="str">
        <f t="shared" si="5"/>
        <v>00000</v>
      </c>
      <c r="Q42" s="26" t="str">
        <f t="shared" si="6"/>
        <v xml:space="preserve"> 000000000000</v>
      </c>
      <c r="R42" s="20" t="str">
        <f t="shared" si="7"/>
        <v xml:space="preserve"> </v>
      </c>
      <c r="S42" s="10"/>
      <c r="T42" s="36" t="str">
        <f>IF($A42="S",(_xlfn.CONCAT(
REGISTRO_DETALHE!$I$4:$I$6,
'C.C.ITAU'!$B42,
REGISTRO_DETALHE!$I$8:$I$10,
'C.C.ITAU'!$O42:$R42,
'C.C.ITAU'!$L42,
REGISTRO_DETALHE!$I$14:$I$19,
'C.C.ITAU'!$N42,
REGISTRO_DETALHE!$I$21:$I$23,
'C.C.ITAU'!$N42,
REGISTRO_DETALHE!$I$25:$I$26,
'C.C.ITAU'!$M42,
REGISTRO_DETALHE!$I$28:$I$32))," ")</f>
        <v xml:space="preserve"> </v>
      </c>
      <c r="U42" s="10"/>
    </row>
    <row r="43" spans="1:21" s="16" customFormat="1" ht="21.95" customHeight="1" x14ac:dyDescent="0.25">
      <c r="A43" s="33" t="str">
        <f t="shared" si="8"/>
        <v>N</v>
      </c>
      <c r="B43" s="17" t="str">
        <f t="shared" si="1"/>
        <v/>
      </c>
      <c r="C43" s="53"/>
      <c r="D43" s="54"/>
      <c r="E43" s="55"/>
      <c r="F43" s="56"/>
      <c r="G43" s="57"/>
      <c r="H43" s="57"/>
      <c r="I43" s="59"/>
      <c r="J43" s="60"/>
      <c r="K43" s="10"/>
      <c r="L43" s="25" t="str">
        <f t="shared" si="11"/>
        <v xml:space="preserve">                              </v>
      </c>
      <c r="M43" s="27" t="str">
        <f t="shared" si="9"/>
        <v/>
      </c>
      <c r="N43" s="27" t="str">
        <f t="shared" si="10"/>
        <v>000000000000000</v>
      </c>
      <c r="O43" s="20" t="str">
        <f t="shared" si="4"/>
        <v>000</v>
      </c>
      <c r="P43" s="20" t="str">
        <f t="shared" si="5"/>
        <v>00000</v>
      </c>
      <c r="Q43" s="26" t="str">
        <f t="shared" si="6"/>
        <v xml:space="preserve"> 000000000000</v>
      </c>
      <c r="R43" s="20" t="str">
        <f t="shared" si="7"/>
        <v xml:space="preserve"> </v>
      </c>
      <c r="S43" s="10"/>
      <c r="T43" s="36" t="str">
        <f>IF($A43="S",(_xlfn.CONCAT(
REGISTRO_DETALHE!$I$4:$I$6,
'C.C.ITAU'!$B43,
REGISTRO_DETALHE!$I$8:$I$10,
'C.C.ITAU'!$O43:$R43,
'C.C.ITAU'!$L43,
REGISTRO_DETALHE!$I$14:$I$19,
'C.C.ITAU'!$N43,
REGISTRO_DETALHE!$I$21:$I$23,
'C.C.ITAU'!$N43,
REGISTRO_DETALHE!$I$25:$I$26,
'C.C.ITAU'!$M43,
REGISTRO_DETALHE!$I$28:$I$32))," ")</f>
        <v xml:space="preserve"> </v>
      </c>
      <c r="U43" s="10"/>
    </row>
    <row r="44" spans="1:21" s="16" customFormat="1" ht="21.95" customHeight="1" x14ac:dyDescent="0.25">
      <c r="A44" s="33" t="str">
        <f t="shared" si="8"/>
        <v>N</v>
      </c>
      <c r="B44" s="17" t="str">
        <f t="shared" si="1"/>
        <v/>
      </c>
      <c r="C44" s="53"/>
      <c r="D44" s="54"/>
      <c r="E44" s="55"/>
      <c r="F44" s="56"/>
      <c r="G44" s="57"/>
      <c r="H44" s="57"/>
      <c r="I44" s="59"/>
      <c r="J44" s="60"/>
      <c r="K44" s="10"/>
      <c r="L44" s="25" t="str">
        <f t="shared" si="11"/>
        <v xml:space="preserve">                              </v>
      </c>
      <c r="M44" s="27" t="str">
        <f t="shared" si="9"/>
        <v/>
      </c>
      <c r="N44" s="27" t="str">
        <f t="shared" si="10"/>
        <v>000000000000000</v>
      </c>
      <c r="O44" s="20" t="str">
        <f t="shared" si="4"/>
        <v>000</v>
      </c>
      <c r="P44" s="20" t="str">
        <f t="shared" si="5"/>
        <v>00000</v>
      </c>
      <c r="Q44" s="26" t="str">
        <f t="shared" si="6"/>
        <v xml:space="preserve"> 000000000000</v>
      </c>
      <c r="R44" s="20" t="str">
        <f t="shared" si="7"/>
        <v xml:space="preserve"> </v>
      </c>
      <c r="S44" s="10"/>
      <c r="T44" s="36" t="str">
        <f>IF($A44="S",(_xlfn.CONCAT(
REGISTRO_DETALHE!$I$4:$I$6,
'C.C.ITAU'!$B44,
REGISTRO_DETALHE!$I$8:$I$10,
'C.C.ITAU'!$O44:$R44,
'C.C.ITAU'!$L44,
REGISTRO_DETALHE!$I$14:$I$19,
'C.C.ITAU'!$N44,
REGISTRO_DETALHE!$I$21:$I$23,
'C.C.ITAU'!$N44,
REGISTRO_DETALHE!$I$25:$I$26,
'C.C.ITAU'!$M44,
REGISTRO_DETALHE!$I$28:$I$32))," ")</f>
        <v xml:space="preserve"> </v>
      </c>
      <c r="U44" s="10"/>
    </row>
    <row r="45" spans="1:21" s="16" customFormat="1" ht="21.95" customHeight="1" x14ac:dyDescent="0.25">
      <c r="A45" s="33" t="str">
        <f t="shared" si="8"/>
        <v>N</v>
      </c>
      <c r="B45" s="17" t="str">
        <f t="shared" si="1"/>
        <v/>
      </c>
      <c r="C45" s="53"/>
      <c r="D45" s="54"/>
      <c r="E45" s="55"/>
      <c r="F45" s="56"/>
      <c r="G45" s="57"/>
      <c r="H45" s="57"/>
      <c r="I45" s="59"/>
      <c r="J45" s="60"/>
      <c r="K45" s="10"/>
      <c r="L45" s="25" t="str">
        <f t="shared" si="11"/>
        <v xml:space="preserve">                              </v>
      </c>
      <c r="M45" s="27" t="str">
        <f t="shared" si="9"/>
        <v/>
      </c>
      <c r="N45" s="27" t="str">
        <f t="shared" si="10"/>
        <v>000000000000000</v>
      </c>
      <c r="O45" s="20" t="str">
        <f t="shared" si="4"/>
        <v>000</v>
      </c>
      <c r="P45" s="20" t="str">
        <f t="shared" si="5"/>
        <v>00000</v>
      </c>
      <c r="Q45" s="26" t="str">
        <f t="shared" si="6"/>
        <v xml:space="preserve"> 000000000000</v>
      </c>
      <c r="R45" s="20" t="str">
        <f t="shared" si="7"/>
        <v xml:space="preserve"> </v>
      </c>
      <c r="S45" s="10"/>
      <c r="T45" s="36" t="str">
        <f>IF($A45="S",(_xlfn.CONCAT(
REGISTRO_DETALHE!$I$4:$I$6,
'C.C.ITAU'!$B45,
REGISTRO_DETALHE!$I$8:$I$10,
'C.C.ITAU'!$O45:$R45,
'C.C.ITAU'!$L45,
REGISTRO_DETALHE!$I$14:$I$19,
'C.C.ITAU'!$N45,
REGISTRO_DETALHE!$I$21:$I$23,
'C.C.ITAU'!$N45,
REGISTRO_DETALHE!$I$25:$I$26,
'C.C.ITAU'!$M45,
REGISTRO_DETALHE!$I$28:$I$32))," ")</f>
        <v xml:space="preserve"> </v>
      </c>
      <c r="U45" s="10"/>
    </row>
    <row r="46" spans="1:21" s="16" customFormat="1" ht="21.95" customHeight="1" x14ac:dyDescent="0.25">
      <c r="A46" s="33" t="str">
        <f t="shared" si="8"/>
        <v>N</v>
      </c>
      <c r="B46" s="17" t="str">
        <f t="shared" si="1"/>
        <v/>
      </c>
      <c r="C46" s="53"/>
      <c r="D46" s="54"/>
      <c r="E46" s="55"/>
      <c r="F46" s="56"/>
      <c r="G46" s="57"/>
      <c r="H46" s="57"/>
      <c r="I46" s="59"/>
      <c r="J46" s="60"/>
      <c r="K46" s="10"/>
      <c r="L46" s="25" t="str">
        <f t="shared" si="11"/>
        <v xml:space="preserve">                              </v>
      </c>
      <c r="M46" s="27" t="str">
        <f t="shared" si="9"/>
        <v/>
      </c>
      <c r="N46" s="27" t="str">
        <f t="shared" si="10"/>
        <v>000000000000000</v>
      </c>
      <c r="O46" s="20" t="str">
        <f t="shared" si="4"/>
        <v>000</v>
      </c>
      <c r="P46" s="20" t="str">
        <f t="shared" si="5"/>
        <v>00000</v>
      </c>
      <c r="Q46" s="26" t="str">
        <f t="shared" si="6"/>
        <v xml:space="preserve"> 000000000000</v>
      </c>
      <c r="R46" s="20" t="str">
        <f t="shared" si="7"/>
        <v xml:space="preserve"> </v>
      </c>
      <c r="S46" s="10"/>
      <c r="T46" s="36" t="str">
        <f>IF($A46="S",(_xlfn.CONCAT(
REGISTRO_DETALHE!$I$4:$I$6,
'C.C.ITAU'!$B46,
REGISTRO_DETALHE!$I$8:$I$10,
'C.C.ITAU'!$O46:$R46,
'C.C.ITAU'!$L46,
REGISTRO_DETALHE!$I$14:$I$19,
'C.C.ITAU'!$N46,
REGISTRO_DETALHE!$I$21:$I$23,
'C.C.ITAU'!$N46,
REGISTRO_DETALHE!$I$25:$I$26,
'C.C.ITAU'!$M46,
REGISTRO_DETALHE!$I$28:$I$32))," ")</f>
        <v xml:space="preserve"> </v>
      </c>
      <c r="U46" s="10"/>
    </row>
    <row r="47" spans="1:21" s="16" customFormat="1" ht="21.95" customHeight="1" x14ac:dyDescent="0.25">
      <c r="A47" s="33" t="str">
        <f t="shared" si="8"/>
        <v>N</v>
      </c>
      <c r="B47" s="17" t="str">
        <f t="shared" si="1"/>
        <v/>
      </c>
      <c r="C47" s="53"/>
      <c r="D47" s="54"/>
      <c r="E47" s="55"/>
      <c r="F47" s="56"/>
      <c r="G47" s="57"/>
      <c r="H47" s="57"/>
      <c r="I47" s="59"/>
      <c r="J47" s="60"/>
      <c r="K47" s="10"/>
      <c r="L47" s="25" t="str">
        <f t="shared" si="11"/>
        <v xml:space="preserve">                              </v>
      </c>
      <c r="M47" s="27" t="str">
        <f t="shared" si="9"/>
        <v/>
      </c>
      <c r="N47" s="27" t="str">
        <f t="shared" si="10"/>
        <v>000000000000000</v>
      </c>
      <c r="O47" s="20" t="str">
        <f t="shared" si="4"/>
        <v>000</v>
      </c>
      <c r="P47" s="20" t="str">
        <f t="shared" si="5"/>
        <v>00000</v>
      </c>
      <c r="Q47" s="26" t="str">
        <f t="shared" si="6"/>
        <v xml:space="preserve"> 000000000000</v>
      </c>
      <c r="R47" s="20" t="str">
        <f t="shared" si="7"/>
        <v xml:space="preserve"> </v>
      </c>
      <c r="S47" s="10"/>
      <c r="T47" s="36" t="str">
        <f>IF($A47="S",(_xlfn.CONCAT(
REGISTRO_DETALHE!$I$4:$I$6,
'C.C.ITAU'!$B47,
REGISTRO_DETALHE!$I$8:$I$10,
'C.C.ITAU'!$O47:$R47,
'C.C.ITAU'!$L47,
REGISTRO_DETALHE!$I$14:$I$19,
'C.C.ITAU'!$N47,
REGISTRO_DETALHE!$I$21:$I$23,
'C.C.ITAU'!$N47,
REGISTRO_DETALHE!$I$25:$I$26,
'C.C.ITAU'!$M47,
REGISTRO_DETALHE!$I$28:$I$32))," ")</f>
        <v xml:space="preserve"> </v>
      </c>
      <c r="U47" s="10"/>
    </row>
    <row r="48" spans="1:21" s="16" customFormat="1" ht="21.95" customHeight="1" x14ac:dyDescent="0.25">
      <c r="A48" s="33" t="str">
        <f t="shared" si="8"/>
        <v>N</v>
      </c>
      <c r="B48" s="17" t="str">
        <f t="shared" si="1"/>
        <v/>
      </c>
      <c r="C48" s="53"/>
      <c r="D48" s="54"/>
      <c r="E48" s="55"/>
      <c r="F48" s="56"/>
      <c r="G48" s="57"/>
      <c r="H48" s="57"/>
      <c r="I48" s="59"/>
      <c r="J48" s="60"/>
      <c r="K48" s="10"/>
      <c r="L48" s="25" t="str">
        <f t="shared" si="11"/>
        <v xml:space="preserve">                              </v>
      </c>
      <c r="M48" s="27" t="str">
        <f t="shared" si="9"/>
        <v/>
      </c>
      <c r="N48" s="27" t="str">
        <f t="shared" si="10"/>
        <v>000000000000000</v>
      </c>
      <c r="O48" s="20" t="str">
        <f t="shared" si="4"/>
        <v>000</v>
      </c>
      <c r="P48" s="20" t="str">
        <f t="shared" si="5"/>
        <v>00000</v>
      </c>
      <c r="Q48" s="26" t="str">
        <f t="shared" si="6"/>
        <v xml:space="preserve"> 000000000000</v>
      </c>
      <c r="R48" s="20" t="str">
        <f t="shared" si="7"/>
        <v xml:space="preserve"> </v>
      </c>
      <c r="S48" s="10"/>
      <c r="T48" s="36" t="str">
        <f>IF($A48="S",(_xlfn.CONCAT(
REGISTRO_DETALHE!$I$4:$I$6,
'C.C.ITAU'!$B48,
REGISTRO_DETALHE!$I$8:$I$10,
'C.C.ITAU'!$O48:$R48,
'C.C.ITAU'!$L48,
REGISTRO_DETALHE!$I$14:$I$19,
'C.C.ITAU'!$N48,
REGISTRO_DETALHE!$I$21:$I$23,
'C.C.ITAU'!$N48,
REGISTRO_DETALHE!$I$25:$I$26,
'C.C.ITAU'!$M48,
REGISTRO_DETALHE!$I$28:$I$32))," ")</f>
        <v xml:space="preserve"> </v>
      </c>
      <c r="U48" s="10"/>
    </row>
    <row r="49" spans="1:21" s="16" customFormat="1" ht="21.95" customHeight="1" x14ac:dyDescent="0.25">
      <c r="A49" s="33" t="str">
        <f t="shared" si="8"/>
        <v>N</v>
      </c>
      <c r="B49" s="17" t="str">
        <f t="shared" si="1"/>
        <v/>
      </c>
      <c r="C49" s="53"/>
      <c r="D49" s="54"/>
      <c r="E49" s="55"/>
      <c r="F49" s="56"/>
      <c r="G49" s="57"/>
      <c r="H49" s="57"/>
      <c r="I49" s="59"/>
      <c r="J49" s="60"/>
      <c r="K49" s="10"/>
      <c r="L49" s="25" t="str">
        <f t="shared" si="11"/>
        <v xml:space="preserve">                              </v>
      </c>
      <c r="M49" s="27" t="str">
        <f t="shared" si="9"/>
        <v/>
      </c>
      <c r="N49" s="27" t="str">
        <f t="shared" si="10"/>
        <v>000000000000000</v>
      </c>
      <c r="O49" s="20" t="str">
        <f t="shared" si="4"/>
        <v>000</v>
      </c>
      <c r="P49" s="20" t="str">
        <f t="shared" si="5"/>
        <v>00000</v>
      </c>
      <c r="Q49" s="26" t="str">
        <f t="shared" si="6"/>
        <v xml:space="preserve"> 000000000000</v>
      </c>
      <c r="R49" s="20" t="str">
        <f t="shared" si="7"/>
        <v xml:space="preserve"> </v>
      </c>
      <c r="S49" s="10"/>
      <c r="T49" s="36" t="str">
        <f>IF($A49="S",(_xlfn.CONCAT(
REGISTRO_DETALHE!$I$4:$I$6,
'C.C.ITAU'!$B49,
REGISTRO_DETALHE!$I$8:$I$10,
'C.C.ITAU'!$O49:$R49,
'C.C.ITAU'!$L49,
REGISTRO_DETALHE!$I$14:$I$19,
'C.C.ITAU'!$N49,
REGISTRO_DETALHE!$I$21:$I$23,
'C.C.ITAU'!$N49,
REGISTRO_DETALHE!$I$25:$I$26,
'C.C.ITAU'!$M49,
REGISTRO_DETALHE!$I$28:$I$32))," ")</f>
        <v xml:space="preserve"> </v>
      </c>
      <c r="U49" s="10"/>
    </row>
    <row r="50" spans="1:21" s="16" customFormat="1" ht="21.95" customHeight="1" x14ac:dyDescent="0.25">
      <c r="A50" s="33" t="str">
        <f t="shared" si="8"/>
        <v>N</v>
      </c>
      <c r="B50" s="17" t="str">
        <f t="shared" si="1"/>
        <v/>
      </c>
      <c r="C50" s="53"/>
      <c r="D50" s="54"/>
      <c r="E50" s="55"/>
      <c r="F50" s="56"/>
      <c r="G50" s="57"/>
      <c r="H50" s="57"/>
      <c r="I50" s="59"/>
      <c r="J50" s="60"/>
      <c r="K50" s="10"/>
      <c r="L50" s="25" t="str">
        <f t="shared" si="11"/>
        <v xml:space="preserve">                              </v>
      </c>
      <c r="M50" s="27" t="str">
        <f t="shared" si="9"/>
        <v/>
      </c>
      <c r="N50" s="27" t="str">
        <f t="shared" si="10"/>
        <v>000000000000000</v>
      </c>
      <c r="O50" s="20" t="str">
        <f t="shared" si="4"/>
        <v>000</v>
      </c>
      <c r="P50" s="20" t="str">
        <f t="shared" si="5"/>
        <v>00000</v>
      </c>
      <c r="Q50" s="26" t="str">
        <f t="shared" si="6"/>
        <v xml:space="preserve"> 000000000000</v>
      </c>
      <c r="R50" s="20" t="str">
        <f t="shared" si="7"/>
        <v xml:space="preserve"> </v>
      </c>
      <c r="S50" s="10"/>
      <c r="T50" s="36" t="str">
        <f>IF($A50="S",(_xlfn.CONCAT(
REGISTRO_DETALHE!$I$4:$I$6,
'C.C.ITAU'!$B50,
REGISTRO_DETALHE!$I$8:$I$10,
'C.C.ITAU'!$O50:$R50,
'C.C.ITAU'!$L50,
REGISTRO_DETALHE!$I$14:$I$19,
'C.C.ITAU'!$N50,
REGISTRO_DETALHE!$I$21:$I$23,
'C.C.ITAU'!$N50,
REGISTRO_DETALHE!$I$25:$I$26,
'C.C.ITAU'!$M50,
REGISTRO_DETALHE!$I$28:$I$32))," ")</f>
        <v xml:space="preserve"> </v>
      </c>
      <c r="U50" s="10"/>
    </row>
    <row r="51" spans="1:21" s="16" customFormat="1" ht="21.95" customHeight="1" x14ac:dyDescent="0.25">
      <c r="A51" s="33" t="str">
        <f t="shared" si="8"/>
        <v>N</v>
      </c>
      <c r="B51" s="17" t="str">
        <f t="shared" si="1"/>
        <v/>
      </c>
      <c r="C51" s="53"/>
      <c r="D51" s="54"/>
      <c r="E51" s="55"/>
      <c r="F51" s="56"/>
      <c r="G51" s="57"/>
      <c r="H51" s="57"/>
      <c r="I51" s="59"/>
      <c r="J51" s="60"/>
      <c r="K51" s="10"/>
      <c r="L51" s="25" t="str">
        <f t="shared" si="11"/>
        <v xml:space="preserve">                              </v>
      </c>
      <c r="M51" s="27" t="str">
        <f t="shared" si="9"/>
        <v/>
      </c>
      <c r="N51" s="27" t="str">
        <f t="shared" si="10"/>
        <v>000000000000000</v>
      </c>
      <c r="O51" s="20" t="str">
        <f t="shared" si="4"/>
        <v>000</v>
      </c>
      <c r="P51" s="20" t="str">
        <f t="shared" si="5"/>
        <v>00000</v>
      </c>
      <c r="Q51" s="26" t="str">
        <f t="shared" si="6"/>
        <v xml:space="preserve"> 000000000000</v>
      </c>
      <c r="R51" s="20" t="str">
        <f t="shared" si="7"/>
        <v xml:space="preserve"> </v>
      </c>
      <c r="S51" s="10"/>
      <c r="T51" s="36" t="str">
        <f>IF($A51="S",(_xlfn.CONCAT(
REGISTRO_DETALHE!$I$4:$I$6,
'C.C.ITAU'!$B51,
REGISTRO_DETALHE!$I$8:$I$10,
'C.C.ITAU'!$O51:$R51,
'C.C.ITAU'!$L51,
REGISTRO_DETALHE!$I$14:$I$19,
'C.C.ITAU'!$N51,
REGISTRO_DETALHE!$I$21:$I$23,
'C.C.ITAU'!$N51,
REGISTRO_DETALHE!$I$25:$I$26,
'C.C.ITAU'!$M51,
REGISTRO_DETALHE!$I$28:$I$32))," ")</f>
        <v xml:space="preserve"> </v>
      </c>
      <c r="U51" s="10"/>
    </row>
    <row r="52" spans="1:21" s="16" customFormat="1" ht="21.95" customHeight="1" x14ac:dyDescent="0.25">
      <c r="A52" s="33" t="str">
        <f t="shared" si="8"/>
        <v>N</v>
      </c>
      <c r="B52" s="17" t="str">
        <f t="shared" si="1"/>
        <v/>
      </c>
      <c r="C52" s="53"/>
      <c r="D52" s="54"/>
      <c r="E52" s="55"/>
      <c r="F52" s="56"/>
      <c r="G52" s="57"/>
      <c r="H52" s="57"/>
      <c r="I52" s="59"/>
      <c r="J52" s="60"/>
      <c r="K52" s="10"/>
      <c r="L52" s="25" t="str">
        <f t="shared" si="11"/>
        <v xml:space="preserve">                              </v>
      </c>
      <c r="M52" s="27" t="str">
        <f t="shared" si="9"/>
        <v/>
      </c>
      <c r="N52" s="27" t="str">
        <f t="shared" si="10"/>
        <v>000000000000000</v>
      </c>
      <c r="O52" s="20" t="str">
        <f t="shared" si="4"/>
        <v>000</v>
      </c>
      <c r="P52" s="20" t="str">
        <f t="shared" si="5"/>
        <v>00000</v>
      </c>
      <c r="Q52" s="26" t="str">
        <f t="shared" si="6"/>
        <v xml:space="preserve"> 000000000000</v>
      </c>
      <c r="R52" s="20" t="str">
        <f t="shared" si="7"/>
        <v xml:space="preserve"> </v>
      </c>
      <c r="S52" s="10"/>
      <c r="T52" s="36" t="str">
        <f>IF($A52="S",(_xlfn.CONCAT(
REGISTRO_DETALHE!$I$4:$I$6,
'C.C.ITAU'!$B52,
REGISTRO_DETALHE!$I$8:$I$10,
'C.C.ITAU'!$O52:$R52,
'C.C.ITAU'!$L52,
REGISTRO_DETALHE!$I$14:$I$19,
'C.C.ITAU'!$N52,
REGISTRO_DETALHE!$I$21:$I$23,
'C.C.ITAU'!$N52,
REGISTRO_DETALHE!$I$25:$I$26,
'C.C.ITAU'!$M52,
REGISTRO_DETALHE!$I$28:$I$32))," ")</f>
        <v xml:space="preserve"> </v>
      </c>
      <c r="U52" s="10"/>
    </row>
    <row r="53" spans="1:21" s="16" customFormat="1" ht="21.95" customHeight="1" x14ac:dyDescent="0.25">
      <c r="A53" s="33" t="str">
        <f t="shared" si="8"/>
        <v>N</v>
      </c>
      <c r="B53" s="17" t="str">
        <f t="shared" si="1"/>
        <v/>
      </c>
      <c r="C53" s="53"/>
      <c r="D53" s="54"/>
      <c r="E53" s="55"/>
      <c r="F53" s="56"/>
      <c r="G53" s="57"/>
      <c r="H53" s="57"/>
      <c r="I53" s="59"/>
      <c r="J53" s="60"/>
      <c r="K53" s="10"/>
      <c r="L53" s="25" t="str">
        <f t="shared" si="11"/>
        <v xml:space="preserve">                              </v>
      </c>
      <c r="M53" s="27" t="str">
        <f t="shared" si="9"/>
        <v/>
      </c>
      <c r="N53" s="27" t="str">
        <f t="shared" si="10"/>
        <v>000000000000000</v>
      </c>
      <c r="O53" s="20" t="str">
        <f t="shared" si="4"/>
        <v>000</v>
      </c>
      <c r="P53" s="20" t="str">
        <f t="shared" si="5"/>
        <v>00000</v>
      </c>
      <c r="Q53" s="26" t="str">
        <f t="shared" si="6"/>
        <v xml:space="preserve"> 000000000000</v>
      </c>
      <c r="R53" s="20" t="str">
        <f t="shared" si="7"/>
        <v xml:space="preserve"> </v>
      </c>
      <c r="S53" s="10"/>
      <c r="T53" s="36" t="str">
        <f>IF($A53="S",(_xlfn.CONCAT(
REGISTRO_DETALHE!$I$4:$I$6,
'C.C.ITAU'!$B53,
REGISTRO_DETALHE!$I$8:$I$10,
'C.C.ITAU'!$O53:$R53,
'C.C.ITAU'!$L53,
REGISTRO_DETALHE!$I$14:$I$19,
'C.C.ITAU'!$N53,
REGISTRO_DETALHE!$I$21:$I$23,
'C.C.ITAU'!$N53,
REGISTRO_DETALHE!$I$25:$I$26,
'C.C.ITAU'!$M53,
REGISTRO_DETALHE!$I$28:$I$32))," ")</f>
        <v xml:space="preserve"> </v>
      </c>
      <c r="U53" s="10"/>
    </row>
    <row r="54" spans="1:21" s="16" customFormat="1" ht="21.95" customHeight="1" x14ac:dyDescent="0.25">
      <c r="A54" s="33" t="str">
        <f t="shared" si="8"/>
        <v>N</v>
      </c>
      <c r="B54" s="17" t="str">
        <f t="shared" si="1"/>
        <v/>
      </c>
      <c r="C54" s="53"/>
      <c r="D54" s="54"/>
      <c r="E54" s="55"/>
      <c r="F54" s="56"/>
      <c r="G54" s="57"/>
      <c r="H54" s="57"/>
      <c r="I54" s="59"/>
      <c r="J54" s="60"/>
      <c r="K54" s="10"/>
      <c r="L54" s="25" t="str">
        <f t="shared" si="11"/>
        <v xml:space="preserve">                              </v>
      </c>
      <c r="M54" s="27" t="str">
        <f t="shared" si="9"/>
        <v/>
      </c>
      <c r="N54" s="27" t="str">
        <f t="shared" si="10"/>
        <v>000000000000000</v>
      </c>
      <c r="O54" s="20" t="str">
        <f t="shared" si="4"/>
        <v>000</v>
      </c>
      <c r="P54" s="20" t="str">
        <f t="shared" si="5"/>
        <v>00000</v>
      </c>
      <c r="Q54" s="26" t="str">
        <f t="shared" si="6"/>
        <v xml:space="preserve"> 000000000000</v>
      </c>
      <c r="R54" s="20" t="str">
        <f t="shared" si="7"/>
        <v xml:space="preserve"> </v>
      </c>
      <c r="S54" s="10"/>
      <c r="T54" s="36" t="str">
        <f>IF($A54="S",(_xlfn.CONCAT(
REGISTRO_DETALHE!$I$4:$I$6,
'C.C.ITAU'!$B54,
REGISTRO_DETALHE!$I$8:$I$10,
'C.C.ITAU'!$O54:$R54,
'C.C.ITAU'!$L54,
REGISTRO_DETALHE!$I$14:$I$19,
'C.C.ITAU'!$N54,
REGISTRO_DETALHE!$I$21:$I$23,
'C.C.ITAU'!$N54,
REGISTRO_DETALHE!$I$25:$I$26,
'C.C.ITAU'!$M54,
REGISTRO_DETALHE!$I$28:$I$32))," ")</f>
        <v xml:space="preserve"> </v>
      </c>
      <c r="U54" s="10"/>
    </row>
    <row r="55" spans="1:21" s="16" customFormat="1" ht="21.95" customHeight="1" x14ac:dyDescent="0.25">
      <c r="A55" s="33" t="str">
        <f t="shared" si="8"/>
        <v>N</v>
      </c>
      <c r="B55" s="17" t="str">
        <f t="shared" si="1"/>
        <v/>
      </c>
      <c r="C55" s="53"/>
      <c r="D55" s="54"/>
      <c r="E55" s="55"/>
      <c r="F55" s="56"/>
      <c r="G55" s="57"/>
      <c r="H55" s="57"/>
      <c r="I55" s="59"/>
      <c r="J55" s="60"/>
      <c r="K55" s="10"/>
      <c r="L55" s="25" t="str">
        <f t="shared" si="11"/>
        <v xml:space="preserve">                              </v>
      </c>
      <c r="M55" s="27" t="str">
        <f t="shared" si="9"/>
        <v/>
      </c>
      <c r="N55" s="27" t="str">
        <f t="shared" si="10"/>
        <v>000000000000000</v>
      </c>
      <c r="O55" s="20" t="str">
        <f t="shared" si="4"/>
        <v>000</v>
      </c>
      <c r="P55" s="20" t="str">
        <f t="shared" si="5"/>
        <v>00000</v>
      </c>
      <c r="Q55" s="26" t="str">
        <f t="shared" si="6"/>
        <v xml:space="preserve"> 000000000000</v>
      </c>
      <c r="R55" s="20" t="str">
        <f t="shared" si="7"/>
        <v xml:space="preserve"> </v>
      </c>
      <c r="S55" s="10"/>
      <c r="T55" s="36" t="str">
        <f>IF($A55="S",(_xlfn.CONCAT(
REGISTRO_DETALHE!$I$4:$I$6,
'C.C.ITAU'!$B55,
REGISTRO_DETALHE!$I$8:$I$10,
'C.C.ITAU'!$O55:$R55,
'C.C.ITAU'!$L55,
REGISTRO_DETALHE!$I$14:$I$19,
'C.C.ITAU'!$N55,
REGISTRO_DETALHE!$I$21:$I$23,
'C.C.ITAU'!$N55,
REGISTRO_DETALHE!$I$25:$I$26,
'C.C.ITAU'!$M55,
REGISTRO_DETALHE!$I$28:$I$32))," ")</f>
        <v xml:space="preserve"> </v>
      </c>
      <c r="U55" s="10"/>
    </row>
    <row r="56" spans="1:21" s="16" customFormat="1" ht="21.95" customHeight="1" x14ac:dyDescent="0.25">
      <c r="A56" s="33" t="str">
        <f t="shared" si="8"/>
        <v>N</v>
      </c>
      <c r="B56" s="17" t="str">
        <f t="shared" si="1"/>
        <v/>
      </c>
      <c r="C56" s="53"/>
      <c r="D56" s="54"/>
      <c r="E56" s="55"/>
      <c r="F56" s="56"/>
      <c r="G56" s="57"/>
      <c r="H56" s="57"/>
      <c r="I56" s="59"/>
      <c r="J56" s="60"/>
      <c r="K56" s="10"/>
      <c r="L56" s="25" t="str">
        <f t="shared" si="11"/>
        <v xml:space="preserve">                              </v>
      </c>
      <c r="M56" s="27" t="str">
        <f t="shared" si="9"/>
        <v/>
      </c>
      <c r="N56" s="27" t="str">
        <f t="shared" si="10"/>
        <v>000000000000000</v>
      </c>
      <c r="O56" s="20" t="str">
        <f t="shared" si="4"/>
        <v>000</v>
      </c>
      <c r="P56" s="20" t="str">
        <f t="shared" si="5"/>
        <v>00000</v>
      </c>
      <c r="Q56" s="26" t="str">
        <f t="shared" si="6"/>
        <v xml:space="preserve"> 000000000000</v>
      </c>
      <c r="R56" s="20" t="str">
        <f t="shared" si="7"/>
        <v xml:space="preserve"> </v>
      </c>
      <c r="S56" s="10"/>
      <c r="T56" s="36" t="str">
        <f>IF($A56="S",(_xlfn.CONCAT(
REGISTRO_DETALHE!$I$4:$I$6,
'C.C.ITAU'!$B56,
REGISTRO_DETALHE!$I$8:$I$10,
'C.C.ITAU'!$O56:$R56,
'C.C.ITAU'!$L56,
REGISTRO_DETALHE!$I$14:$I$19,
'C.C.ITAU'!$N56,
REGISTRO_DETALHE!$I$21:$I$23,
'C.C.ITAU'!$N56,
REGISTRO_DETALHE!$I$25:$I$26,
'C.C.ITAU'!$M56,
REGISTRO_DETALHE!$I$28:$I$32))," ")</f>
        <v xml:space="preserve"> </v>
      </c>
      <c r="U56" s="10"/>
    </row>
    <row r="57" spans="1:21" s="16" customFormat="1" ht="21.95" customHeight="1" x14ac:dyDescent="0.25">
      <c r="A57" s="33" t="str">
        <f t="shared" si="8"/>
        <v>N</v>
      </c>
      <c r="B57" s="17" t="str">
        <f t="shared" si="1"/>
        <v/>
      </c>
      <c r="C57" s="53"/>
      <c r="D57" s="54"/>
      <c r="E57" s="55"/>
      <c r="F57" s="56"/>
      <c r="G57" s="57"/>
      <c r="H57" s="57"/>
      <c r="I57" s="59"/>
      <c r="J57" s="60"/>
      <c r="K57" s="10"/>
      <c r="L57" s="25" t="str">
        <f t="shared" si="11"/>
        <v xml:space="preserve">                              </v>
      </c>
      <c r="M57" s="27" t="str">
        <f t="shared" si="9"/>
        <v/>
      </c>
      <c r="N57" s="27" t="str">
        <f t="shared" si="10"/>
        <v>000000000000000</v>
      </c>
      <c r="O57" s="20" t="str">
        <f t="shared" si="4"/>
        <v>000</v>
      </c>
      <c r="P57" s="20" t="str">
        <f t="shared" si="5"/>
        <v>00000</v>
      </c>
      <c r="Q57" s="26" t="str">
        <f t="shared" si="6"/>
        <v xml:space="preserve"> 000000000000</v>
      </c>
      <c r="R57" s="20" t="str">
        <f t="shared" si="7"/>
        <v xml:space="preserve"> </v>
      </c>
      <c r="S57" s="10"/>
      <c r="T57" s="36" t="str">
        <f>IF($A57="S",(_xlfn.CONCAT(
REGISTRO_DETALHE!$I$4:$I$6,
'C.C.ITAU'!$B57,
REGISTRO_DETALHE!$I$8:$I$10,
'C.C.ITAU'!$O57:$R57,
'C.C.ITAU'!$L57,
REGISTRO_DETALHE!$I$14:$I$19,
'C.C.ITAU'!$N57,
REGISTRO_DETALHE!$I$21:$I$23,
'C.C.ITAU'!$N57,
REGISTRO_DETALHE!$I$25:$I$26,
'C.C.ITAU'!$M57,
REGISTRO_DETALHE!$I$28:$I$32))," ")</f>
        <v xml:space="preserve"> </v>
      </c>
      <c r="U57" s="10"/>
    </row>
    <row r="58" spans="1:21" s="16" customFormat="1" ht="21.95" customHeight="1" x14ac:dyDescent="0.25">
      <c r="A58" s="33" t="str">
        <f t="shared" si="8"/>
        <v>N</v>
      </c>
      <c r="B58" s="17" t="str">
        <f t="shared" si="1"/>
        <v/>
      </c>
      <c r="C58" s="53"/>
      <c r="D58" s="54"/>
      <c r="E58" s="55"/>
      <c r="F58" s="56"/>
      <c r="G58" s="57"/>
      <c r="H58" s="57"/>
      <c r="I58" s="59"/>
      <c r="J58" s="60"/>
      <c r="K58" s="10"/>
      <c r="L58" s="25" t="str">
        <f t="shared" si="11"/>
        <v xml:space="preserve">                              </v>
      </c>
      <c r="M58" s="27" t="str">
        <f t="shared" si="9"/>
        <v/>
      </c>
      <c r="N58" s="27" t="str">
        <f t="shared" si="10"/>
        <v>000000000000000</v>
      </c>
      <c r="O58" s="20" t="str">
        <f t="shared" si="4"/>
        <v>000</v>
      </c>
      <c r="P58" s="20" t="str">
        <f t="shared" si="5"/>
        <v>00000</v>
      </c>
      <c r="Q58" s="26" t="str">
        <f t="shared" si="6"/>
        <v xml:space="preserve"> 000000000000</v>
      </c>
      <c r="R58" s="20" t="str">
        <f t="shared" si="7"/>
        <v xml:space="preserve"> </v>
      </c>
      <c r="S58" s="10"/>
      <c r="T58" s="36" t="str">
        <f>IF($A58="S",(_xlfn.CONCAT(
REGISTRO_DETALHE!$I$4:$I$6,
'C.C.ITAU'!$B58,
REGISTRO_DETALHE!$I$8:$I$10,
'C.C.ITAU'!$O58:$R58,
'C.C.ITAU'!$L58,
REGISTRO_DETALHE!$I$14:$I$19,
'C.C.ITAU'!$N58,
REGISTRO_DETALHE!$I$21:$I$23,
'C.C.ITAU'!$N58,
REGISTRO_DETALHE!$I$25:$I$26,
'C.C.ITAU'!$M58,
REGISTRO_DETALHE!$I$28:$I$32))," ")</f>
        <v xml:space="preserve"> </v>
      </c>
      <c r="U58" s="10"/>
    </row>
    <row r="59" spans="1:21" s="16" customFormat="1" ht="21.95" customHeight="1" x14ac:dyDescent="0.25">
      <c r="A59" s="33" t="str">
        <f t="shared" si="8"/>
        <v>N</v>
      </c>
      <c r="B59" s="17" t="str">
        <f t="shared" si="1"/>
        <v/>
      </c>
      <c r="C59" s="53"/>
      <c r="D59" s="54"/>
      <c r="E59" s="55"/>
      <c r="F59" s="56"/>
      <c r="G59" s="57"/>
      <c r="H59" s="57"/>
      <c r="I59" s="59"/>
      <c r="J59" s="60"/>
      <c r="K59" s="10"/>
      <c r="L59" s="25" t="str">
        <f t="shared" si="11"/>
        <v xml:space="preserve">                              </v>
      </c>
      <c r="M59" s="27" t="str">
        <f t="shared" si="9"/>
        <v/>
      </c>
      <c r="N59" s="27" t="str">
        <f t="shared" si="10"/>
        <v>000000000000000</v>
      </c>
      <c r="O59" s="20" t="str">
        <f t="shared" si="4"/>
        <v>000</v>
      </c>
      <c r="P59" s="20" t="str">
        <f t="shared" si="5"/>
        <v>00000</v>
      </c>
      <c r="Q59" s="26" t="str">
        <f t="shared" si="6"/>
        <v xml:space="preserve"> 000000000000</v>
      </c>
      <c r="R59" s="20" t="str">
        <f t="shared" si="7"/>
        <v xml:space="preserve"> </v>
      </c>
      <c r="S59" s="10"/>
      <c r="T59" s="36" t="str">
        <f>IF($A59="S",(_xlfn.CONCAT(
REGISTRO_DETALHE!$I$4:$I$6,
'C.C.ITAU'!$B59,
REGISTRO_DETALHE!$I$8:$I$10,
'C.C.ITAU'!$O59:$R59,
'C.C.ITAU'!$L59,
REGISTRO_DETALHE!$I$14:$I$19,
'C.C.ITAU'!$N59,
REGISTRO_DETALHE!$I$21:$I$23,
'C.C.ITAU'!$N59,
REGISTRO_DETALHE!$I$25:$I$26,
'C.C.ITAU'!$M59,
REGISTRO_DETALHE!$I$28:$I$32))," ")</f>
        <v xml:space="preserve"> </v>
      </c>
      <c r="U59" s="10"/>
    </row>
    <row r="60" spans="1:21" s="16" customFormat="1" ht="21.95" customHeight="1" x14ac:dyDescent="0.25">
      <c r="A60" s="33" t="str">
        <f t="shared" si="8"/>
        <v>N</v>
      </c>
      <c r="B60" s="17" t="str">
        <f t="shared" si="1"/>
        <v/>
      </c>
      <c r="C60" s="53"/>
      <c r="D60" s="54"/>
      <c r="E60" s="55"/>
      <c r="F60" s="56"/>
      <c r="G60" s="57"/>
      <c r="H60" s="57"/>
      <c r="I60" s="59"/>
      <c r="J60" s="60"/>
      <c r="K60" s="10"/>
      <c r="L60" s="25" t="str">
        <f t="shared" si="11"/>
        <v xml:space="preserve">                              </v>
      </c>
      <c r="M60" s="27" t="str">
        <f t="shared" si="9"/>
        <v/>
      </c>
      <c r="N60" s="27" t="str">
        <f t="shared" si="10"/>
        <v>000000000000000</v>
      </c>
      <c r="O60" s="20" t="str">
        <f t="shared" si="4"/>
        <v>000</v>
      </c>
      <c r="P60" s="20" t="str">
        <f t="shared" si="5"/>
        <v>00000</v>
      </c>
      <c r="Q60" s="26" t="str">
        <f t="shared" si="6"/>
        <v xml:space="preserve"> 000000000000</v>
      </c>
      <c r="R60" s="20" t="str">
        <f t="shared" si="7"/>
        <v xml:space="preserve"> </v>
      </c>
      <c r="S60" s="10"/>
      <c r="T60" s="36" t="str">
        <f>IF($A60="S",(_xlfn.CONCAT(
REGISTRO_DETALHE!$I$4:$I$6,
'C.C.ITAU'!$B60,
REGISTRO_DETALHE!$I$8:$I$10,
'C.C.ITAU'!$O60:$R60,
'C.C.ITAU'!$L60,
REGISTRO_DETALHE!$I$14:$I$19,
'C.C.ITAU'!$N60,
REGISTRO_DETALHE!$I$21:$I$23,
'C.C.ITAU'!$N60,
REGISTRO_DETALHE!$I$25:$I$26,
'C.C.ITAU'!$M60,
REGISTRO_DETALHE!$I$28:$I$32))," ")</f>
        <v xml:space="preserve"> </v>
      </c>
      <c r="U60" s="10"/>
    </row>
    <row r="61" spans="1:21" s="16" customFormat="1" ht="21.95" customHeight="1" x14ac:dyDescent="0.25">
      <c r="A61" s="33" t="str">
        <f t="shared" si="8"/>
        <v>N</v>
      </c>
      <c r="B61" s="17" t="str">
        <f t="shared" si="1"/>
        <v/>
      </c>
      <c r="C61" s="53"/>
      <c r="D61" s="54"/>
      <c r="E61" s="55"/>
      <c r="F61" s="56"/>
      <c r="G61" s="57"/>
      <c r="H61" s="57"/>
      <c r="I61" s="59"/>
      <c r="J61" s="60"/>
      <c r="K61" s="10"/>
      <c r="L61" s="25" t="str">
        <f t="shared" si="11"/>
        <v xml:space="preserve">                              </v>
      </c>
      <c r="M61" s="27" t="str">
        <f t="shared" si="9"/>
        <v/>
      </c>
      <c r="N61" s="27" t="str">
        <f t="shared" si="10"/>
        <v>000000000000000</v>
      </c>
      <c r="O61" s="20" t="str">
        <f t="shared" si="4"/>
        <v>000</v>
      </c>
      <c r="P61" s="20" t="str">
        <f t="shared" si="5"/>
        <v>00000</v>
      </c>
      <c r="Q61" s="26" t="str">
        <f t="shared" si="6"/>
        <v xml:space="preserve"> 000000000000</v>
      </c>
      <c r="R61" s="20" t="str">
        <f t="shared" si="7"/>
        <v xml:space="preserve"> </v>
      </c>
      <c r="S61" s="10"/>
      <c r="T61" s="36" t="str">
        <f>IF($A61="S",(_xlfn.CONCAT(
REGISTRO_DETALHE!$I$4:$I$6,
'C.C.ITAU'!$B61,
REGISTRO_DETALHE!$I$8:$I$10,
'C.C.ITAU'!$O61:$R61,
'C.C.ITAU'!$L61,
REGISTRO_DETALHE!$I$14:$I$19,
'C.C.ITAU'!$N61,
REGISTRO_DETALHE!$I$21:$I$23,
'C.C.ITAU'!$N61,
REGISTRO_DETALHE!$I$25:$I$26,
'C.C.ITAU'!$M61,
REGISTRO_DETALHE!$I$28:$I$32))," ")</f>
        <v xml:space="preserve"> </v>
      </c>
      <c r="U61" s="10"/>
    </row>
    <row r="62" spans="1:21" s="16" customFormat="1" ht="21.95" customHeight="1" x14ac:dyDescent="0.25">
      <c r="A62" s="33" t="str">
        <f t="shared" si="8"/>
        <v>N</v>
      </c>
      <c r="B62" s="17" t="str">
        <f t="shared" si="1"/>
        <v/>
      </c>
      <c r="C62" s="53"/>
      <c r="D62" s="54"/>
      <c r="E62" s="55"/>
      <c r="F62" s="56"/>
      <c r="G62" s="57"/>
      <c r="H62" s="57"/>
      <c r="I62" s="59"/>
      <c r="J62" s="60"/>
      <c r="K62" s="10"/>
      <c r="L62" s="25" t="str">
        <f t="shared" si="11"/>
        <v xml:space="preserve">                              </v>
      </c>
      <c r="M62" s="27" t="str">
        <f t="shared" si="9"/>
        <v/>
      </c>
      <c r="N62" s="27" t="str">
        <f t="shared" si="10"/>
        <v>000000000000000</v>
      </c>
      <c r="O62" s="20" t="str">
        <f t="shared" si="4"/>
        <v>000</v>
      </c>
      <c r="P62" s="20" t="str">
        <f t="shared" si="5"/>
        <v>00000</v>
      </c>
      <c r="Q62" s="26" t="str">
        <f t="shared" si="6"/>
        <v xml:space="preserve"> 000000000000</v>
      </c>
      <c r="R62" s="20" t="str">
        <f t="shared" si="7"/>
        <v xml:space="preserve"> </v>
      </c>
      <c r="S62" s="10"/>
      <c r="T62" s="36" t="str">
        <f>IF($A62="S",(_xlfn.CONCAT(
REGISTRO_DETALHE!$I$4:$I$6,
'C.C.ITAU'!$B62,
REGISTRO_DETALHE!$I$8:$I$10,
'C.C.ITAU'!$O62:$R62,
'C.C.ITAU'!$L62,
REGISTRO_DETALHE!$I$14:$I$19,
'C.C.ITAU'!$N62,
REGISTRO_DETALHE!$I$21:$I$23,
'C.C.ITAU'!$N62,
REGISTRO_DETALHE!$I$25:$I$26,
'C.C.ITAU'!$M62,
REGISTRO_DETALHE!$I$28:$I$32))," ")</f>
        <v xml:space="preserve"> </v>
      </c>
      <c r="U62" s="10"/>
    </row>
    <row r="63" spans="1:21" s="16" customFormat="1" ht="21.95" customHeight="1" x14ac:dyDescent="0.25">
      <c r="A63" s="33" t="str">
        <f t="shared" si="8"/>
        <v>N</v>
      </c>
      <c r="B63" s="17" t="str">
        <f t="shared" si="1"/>
        <v/>
      </c>
      <c r="C63" s="53"/>
      <c r="D63" s="54"/>
      <c r="E63" s="55"/>
      <c r="F63" s="56"/>
      <c r="G63" s="57"/>
      <c r="H63" s="57"/>
      <c r="I63" s="59"/>
      <c r="J63" s="60"/>
      <c r="K63" s="10"/>
      <c r="L63" s="25" t="str">
        <f t="shared" si="11"/>
        <v xml:space="preserve">                              </v>
      </c>
      <c r="M63" s="27" t="str">
        <f t="shared" si="9"/>
        <v/>
      </c>
      <c r="N63" s="27" t="str">
        <f t="shared" si="10"/>
        <v>000000000000000</v>
      </c>
      <c r="O63" s="20" t="str">
        <f t="shared" si="4"/>
        <v>000</v>
      </c>
      <c r="P63" s="20" t="str">
        <f t="shared" si="5"/>
        <v>00000</v>
      </c>
      <c r="Q63" s="26" t="str">
        <f t="shared" si="6"/>
        <v xml:space="preserve"> 000000000000</v>
      </c>
      <c r="R63" s="20" t="str">
        <f t="shared" si="7"/>
        <v xml:space="preserve"> </v>
      </c>
      <c r="S63" s="10"/>
      <c r="T63" s="36" t="str">
        <f>IF($A63="S",(_xlfn.CONCAT(
REGISTRO_DETALHE!$I$4:$I$6,
'C.C.ITAU'!$B63,
REGISTRO_DETALHE!$I$8:$I$10,
'C.C.ITAU'!$O63:$R63,
'C.C.ITAU'!$L63,
REGISTRO_DETALHE!$I$14:$I$19,
'C.C.ITAU'!$N63,
REGISTRO_DETALHE!$I$21:$I$23,
'C.C.ITAU'!$N63,
REGISTRO_DETALHE!$I$25:$I$26,
'C.C.ITAU'!$M63,
REGISTRO_DETALHE!$I$28:$I$32))," ")</f>
        <v xml:space="preserve"> </v>
      </c>
      <c r="U63" s="10"/>
    </row>
    <row r="64" spans="1:21" s="16" customFormat="1" ht="21.95" customHeight="1" x14ac:dyDescent="0.25">
      <c r="A64" s="33" t="str">
        <f t="shared" si="8"/>
        <v>N</v>
      </c>
      <c r="B64" s="17" t="str">
        <f t="shared" si="1"/>
        <v/>
      </c>
      <c r="C64" s="53"/>
      <c r="D64" s="54"/>
      <c r="E64" s="55"/>
      <c r="F64" s="56"/>
      <c r="G64" s="57"/>
      <c r="H64" s="57"/>
      <c r="I64" s="59"/>
      <c r="J64" s="60"/>
      <c r="K64" s="10"/>
      <c r="L64" s="25" t="str">
        <f t="shared" si="11"/>
        <v xml:space="preserve">                              </v>
      </c>
      <c r="M64" s="27" t="str">
        <f t="shared" si="9"/>
        <v/>
      </c>
      <c r="N64" s="27" t="str">
        <f t="shared" si="10"/>
        <v>000000000000000</v>
      </c>
      <c r="O64" s="20" t="str">
        <f t="shared" si="4"/>
        <v>000</v>
      </c>
      <c r="P64" s="20" t="str">
        <f t="shared" si="5"/>
        <v>00000</v>
      </c>
      <c r="Q64" s="26" t="str">
        <f t="shared" si="6"/>
        <v xml:space="preserve"> 000000000000</v>
      </c>
      <c r="R64" s="20" t="str">
        <f t="shared" si="7"/>
        <v xml:space="preserve"> </v>
      </c>
      <c r="S64" s="10"/>
      <c r="T64" s="36" t="str">
        <f>IF($A64="S",(_xlfn.CONCAT(
REGISTRO_DETALHE!$I$4:$I$6,
'C.C.ITAU'!$B64,
REGISTRO_DETALHE!$I$8:$I$10,
'C.C.ITAU'!$O64:$R64,
'C.C.ITAU'!$L64,
REGISTRO_DETALHE!$I$14:$I$19,
'C.C.ITAU'!$N64,
REGISTRO_DETALHE!$I$21:$I$23,
'C.C.ITAU'!$N64,
REGISTRO_DETALHE!$I$25:$I$26,
'C.C.ITAU'!$M64,
REGISTRO_DETALHE!$I$28:$I$32))," ")</f>
        <v xml:space="preserve"> </v>
      </c>
      <c r="U64" s="10"/>
    </row>
    <row r="65" spans="1:21" s="16" customFormat="1" ht="21.95" customHeight="1" x14ac:dyDescent="0.25">
      <c r="A65" s="33" t="str">
        <f t="shared" si="8"/>
        <v>N</v>
      </c>
      <c r="B65" s="17" t="str">
        <f t="shared" si="1"/>
        <v/>
      </c>
      <c r="C65" s="53"/>
      <c r="D65" s="54"/>
      <c r="E65" s="55"/>
      <c r="F65" s="56"/>
      <c r="G65" s="57"/>
      <c r="H65" s="57"/>
      <c r="I65" s="59"/>
      <c r="J65" s="60"/>
      <c r="K65" s="10"/>
      <c r="L65" s="25" t="str">
        <f t="shared" si="11"/>
        <v xml:space="preserve">                              </v>
      </c>
      <c r="M65" s="27" t="str">
        <f t="shared" si="9"/>
        <v/>
      </c>
      <c r="N65" s="27" t="str">
        <f t="shared" si="10"/>
        <v>000000000000000</v>
      </c>
      <c r="O65" s="20" t="str">
        <f t="shared" si="4"/>
        <v>000</v>
      </c>
      <c r="P65" s="20" t="str">
        <f t="shared" si="5"/>
        <v>00000</v>
      </c>
      <c r="Q65" s="26" t="str">
        <f t="shared" si="6"/>
        <v xml:space="preserve"> 000000000000</v>
      </c>
      <c r="R65" s="20" t="str">
        <f t="shared" si="7"/>
        <v xml:space="preserve"> </v>
      </c>
      <c r="S65" s="10"/>
      <c r="T65" s="36" t="str">
        <f>IF($A65="S",(_xlfn.CONCAT(
REGISTRO_DETALHE!$I$4:$I$6,
'C.C.ITAU'!$B65,
REGISTRO_DETALHE!$I$8:$I$10,
'C.C.ITAU'!$O65:$R65,
'C.C.ITAU'!$L65,
REGISTRO_DETALHE!$I$14:$I$19,
'C.C.ITAU'!$N65,
REGISTRO_DETALHE!$I$21:$I$23,
'C.C.ITAU'!$N65,
REGISTRO_DETALHE!$I$25:$I$26,
'C.C.ITAU'!$M65,
REGISTRO_DETALHE!$I$28:$I$32))," ")</f>
        <v xml:space="preserve"> </v>
      </c>
      <c r="U65" s="10"/>
    </row>
    <row r="66" spans="1:21" s="16" customFormat="1" ht="21.95" customHeight="1" x14ac:dyDescent="0.25">
      <c r="A66" s="33" t="str">
        <f t="shared" si="8"/>
        <v>N</v>
      </c>
      <c r="B66" s="17" t="str">
        <f t="shared" si="1"/>
        <v/>
      </c>
      <c r="C66" s="53"/>
      <c r="D66" s="54"/>
      <c r="E66" s="55"/>
      <c r="F66" s="56"/>
      <c r="G66" s="57"/>
      <c r="H66" s="57"/>
      <c r="I66" s="59"/>
      <c r="J66" s="60"/>
      <c r="K66" s="10"/>
      <c r="L66" s="25" t="str">
        <f t="shared" si="11"/>
        <v xml:space="preserve">                              </v>
      </c>
      <c r="M66" s="27" t="str">
        <f t="shared" si="9"/>
        <v/>
      </c>
      <c r="N66" s="27" t="str">
        <f t="shared" si="10"/>
        <v>000000000000000</v>
      </c>
      <c r="O66" s="20" t="str">
        <f t="shared" si="4"/>
        <v>000</v>
      </c>
      <c r="P66" s="20" t="str">
        <f t="shared" si="5"/>
        <v>00000</v>
      </c>
      <c r="Q66" s="26" t="str">
        <f t="shared" si="6"/>
        <v xml:space="preserve"> 000000000000</v>
      </c>
      <c r="R66" s="20" t="str">
        <f t="shared" si="7"/>
        <v xml:space="preserve"> </v>
      </c>
      <c r="S66" s="10"/>
      <c r="T66" s="36" t="str">
        <f>IF($A66="S",(_xlfn.CONCAT(
REGISTRO_DETALHE!$I$4:$I$6,
'C.C.ITAU'!$B66,
REGISTRO_DETALHE!$I$8:$I$10,
'C.C.ITAU'!$O66:$R66,
'C.C.ITAU'!$L66,
REGISTRO_DETALHE!$I$14:$I$19,
'C.C.ITAU'!$N66,
REGISTRO_DETALHE!$I$21:$I$23,
'C.C.ITAU'!$N66,
REGISTRO_DETALHE!$I$25:$I$26,
'C.C.ITAU'!$M66,
REGISTRO_DETALHE!$I$28:$I$32))," ")</f>
        <v xml:space="preserve"> </v>
      </c>
      <c r="U66" s="10"/>
    </row>
    <row r="67" spans="1:21" s="16" customFormat="1" ht="21.95" customHeight="1" x14ac:dyDescent="0.25">
      <c r="A67" s="33" t="str">
        <f t="shared" si="8"/>
        <v>N</v>
      </c>
      <c r="B67" s="17" t="str">
        <f t="shared" si="1"/>
        <v/>
      </c>
      <c r="C67" s="53"/>
      <c r="D67" s="54"/>
      <c r="E67" s="55"/>
      <c r="F67" s="56"/>
      <c r="G67" s="57"/>
      <c r="H67" s="57"/>
      <c r="I67" s="59"/>
      <c r="J67" s="60"/>
      <c r="K67" s="10"/>
      <c r="L67" s="25" t="str">
        <f t="shared" si="11"/>
        <v xml:space="preserve">                              </v>
      </c>
      <c r="M67" s="27" t="str">
        <f t="shared" si="9"/>
        <v/>
      </c>
      <c r="N67" s="27" t="str">
        <f t="shared" si="10"/>
        <v>000000000000000</v>
      </c>
      <c r="O67" s="20" t="str">
        <f t="shared" si="4"/>
        <v>000</v>
      </c>
      <c r="P67" s="20" t="str">
        <f t="shared" si="5"/>
        <v>00000</v>
      </c>
      <c r="Q67" s="26" t="str">
        <f t="shared" si="6"/>
        <v xml:space="preserve"> 000000000000</v>
      </c>
      <c r="R67" s="20" t="str">
        <f t="shared" si="7"/>
        <v xml:space="preserve"> </v>
      </c>
      <c r="S67" s="10"/>
      <c r="T67" s="36" t="str">
        <f>IF($A67="S",(_xlfn.CONCAT(
REGISTRO_DETALHE!$I$4:$I$6,
'C.C.ITAU'!$B67,
REGISTRO_DETALHE!$I$8:$I$10,
'C.C.ITAU'!$O67:$R67,
'C.C.ITAU'!$L67,
REGISTRO_DETALHE!$I$14:$I$19,
'C.C.ITAU'!$N67,
REGISTRO_DETALHE!$I$21:$I$23,
'C.C.ITAU'!$N67,
REGISTRO_DETALHE!$I$25:$I$26,
'C.C.ITAU'!$M67,
REGISTRO_DETALHE!$I$28:$I$32))," ")</f>
        <v xml:space="preserve"> </v>
      </c>
      <c r="U67" s="10"/>
    </row>
    <row r="68" spans="1:21" s="16" customFormat="1" ht="21.95" customHeight="1" x14ac:dyDescent="0.25">
      <c r="A68" s="33" t="str">
        <f t="shared" si="8"/>
        <v>N</v>
      </c>
      <c r="B68" s="17" t="str">
        <f t="shared" si="1"/>
        <v/>
      </c>
      <c r="C68" s="53"/>
      <c r="D68" s="54"/>
      <c r="E68" s="55"/>
      <c r="F68" s="56"/>
      <c r="G68" s="57"/>
      <c r="H68" s="57"/>
      <c r="I68" s="59"/>
      <c r="J68" s="60"/>
      <c r="K68" s="10"/>
      <c r="L68" s="25" t="str">
        <f t="shared" si="11"/>
        <v xml:space="preserve">                              </v>
      </c>
      <c r="M68" s="27" t="str">
        <f t="shared" si="9"/>
        <v/>
      </c>
      <c r="N68" s="27" t="str">
        <f t="shared" si="10"/>
        <v>000000000000000</v>
      </c>
      <c r="O68" s="20" t="str">
        <f t="shared" si="4"/>
        <v>000</v>
      </c>
      <c r="P68" s="20" t="str">
        <f t="shared" si="5"/>
        <v>00000</v>
      </c>
      <c r="Q68" s="26" t="str">
        <f t="shared" si="6"/>
        <v xml:space="preserve"> 000000000000</v>
      </c>
      <c r="R68" s="20" t="str">
        <f t="shared" si="7"/>
        <v xml:space="preserve"> </v>
      </c>
      <c r="S68" s="10"/>
      <c r="T68" s="36" t="str">
        <f>IF($A68="S",(_xlfn.CONCAT(
REGISTRO_DETALHE!$I$4:$I$6,
'C.C.ITAU'!$B68,
REGISTRO_DETALHE!$I$8:$I$10,
'C.C.ITAU'!$O68:$R68,
'C.C.ITAU'!$L68,
REGISTRO_DETALHE!$I$14:$I$19,
'C.C.ITAU'!$N68,
REGISTRO_DETALHE!$I$21:$I$23,
'C.C.ITAU'!$N68,
REGISTRO_DETALHE!$I$25:$I$26,
'C.C.ITAU'!$M68,
REGISTRO_DETALHE!$I$28:$I$32))," ")</f>
        <v xml:space="preserve"> </v>
      </c>
      <c r="U68" s="10"/>
    </row>
    <row r="69" spans="1:21" s="16" customFormat="1" ht="21.95" customHeight="1" x14ac:dyDescent="0.25">
      <c r="A69" s="33" t="str">
        <f t="shared" si="8"/>
        <v>N</v>
      </c>
      <c r="B69" s="17" t="str">
        <f t="shared" si="1"/>
        <v/>
      </c>
      <c r="C69" s="53"/>
      <c r="D69" s="54"/>
      <c r="E69" s="55"/>
      <c r="F69" s="56"/>
      <c r="G69" s="57"/>
      <c r="H69" s="57"/>
      <c r="I69" s="59"/>
      <c r="J69" s="60"/>
      <c r="K69" s="10"/>
      <c r="L69" s="25" t="str">
        <f t="shared" si="11"/>
        <v xml:space="preserve">                              </v>
      </c>
      <c r="M69" s="27" t="str">
        <f t="shared" si="9"/>
        <v/>
      </c>
      <c r="N69" s="27" t="str">
        <f t="shared" si="10"/>
        <v>000000000000000</v>
      </c>
      <c r="O69" s="20" t="str">
        <f t="shared" si="4"/>
        <v>000</v>
      </c>
      <c r="P69" s="20" t="str">
        <f t="shared" si="5"/>
        <v>00000</v>
      </c>
      <c r="Q69" s="26" t="str">
        <f t="shared" si="6"/>
        <v xml:space="preserve"> 000000000000</v>
      </c>
      <c r="R69" s="20" t="str">
        <f t="shared" si="7"/>
        <v xml:space="preserve"> </v>
      </c>
      <c r="S69" s="10"/>
      <c r="T69" s="36" t="str">
        <f>IF($A69="S",(_xlfn.CONCAT(
REGISTRO_DETALHE!$I$4:$I$6,
'C.C.ITAU'!$B69,
REGISTRO_DETALHE!$I$8:$I$10,
'C.C.ITAU'!$O69:$R69,
'C.C.ITAU'!$L69,
REGISTRO_DETALHE!$I$14:$I$19,
'C.C.ITAU'!$N69,
REGISTRO_DETALHE!$I$21:$I$23,
'C.C.ITAU'!$N69,
REGISTRO_DETALHE!$I$25:$I$26,
'C.C.ITAU'!$M69,
REGISTRO_DETALHE!$I$28:$I$32))," ")</f>
        <v xml:space="preserve"> </v>
      </c>
      <c r="U69" s="10"/>
    </row>
    <row r="70" spans="1:21" s="16" customFormat="1" ht="21.95" customHeight="1" x14ac:dyDescent="0.25">
      <c r="A70" s="33" t="str">
        <f t="shared" si="8"/>
        <v>N</v>
      </c>
      <c r="B70" s="17" t="str">
        <f t="shared" si="1"/>
        <v/>
      </c>
      <c r="C70" s="53"/>
      <c r="D70" s="54"/>
      <c r="E70" s="55"/>
      <c r="F70" s="56"/>
      <c r="G70" s="57"/>
      <c r="H70" s="57"/>
      <c r="I70" s="59"/>
      <c r="J70" s="60"/>
      <c r="K70" s="10"/>
      <c r="L70" s="25" t="str">
        <f t="shared" si="11"/>
        <v xml:space="preserve">                              </v>
      </c>
      <c r="M70" s="27" t="str">
        <f t="shared" si="9"/>
        <v/>
      </c>
      <c r="N70" s="27" t="str">
        <f t="shared" si="10"/>
        <v>000000000000000</v>
      </c>
      <c r="O70" s="20" t="str">
        <f t="shared" si="4"/>
        <v>000</v>
      </c>
      <c r="P70" s="20" t="str">
        <f t="shared" si="5"/>
        <v>00000</v>
      </c>
      <c r="Q70" s="26" t="str">
        <f t="shared" si="6"/>
        <v xml:space="preserve"> 000000000000</v>
      </c>
      <c r="R70" s="20" t="str">
        <f t="shared" si="7"/>
        <v xml:space="preserve"> </v>
      </c>
      <c r="S70" s="10"/>
      <c r="T70" s="36" t="str">
        <f>IF($A70="S",(_xlfn.CONCAT(
REGISTRO_DETALHE!$I$4:$I$6,
'C.C.ITAU'!$B70,
REGISTRO_DETALHE!$I$8:$I$10,
'C.C.ITAU'!$O70:$R70,
'C.C.ITAU'!$L70,
REGISTRO_DETALHE!$I$14:$I$19,
'C.C.ITAU'!$N70,
REGISTRO_DETALHE!$I$21:$I$23,
'C.C.ITAU'!$N70,
REGISTRO_DETALHE!$I$25:$I$26,
'C.C.ITAU'!$M70,
REGISTRO_DETALHE!$I$28:$I$32))," ")</f>
        <v xml:space="preserve"> </v>
      </c>
      <c r="U70" s="10"/>
    </row>
    <row r="71" spans="1:21" s="16" customFormat="1" ht="21.95" customHeight="1" x14ac:dyDescent="0.25">
      <c r="A71" s="33" t="str">
        <f t="shared" si="8"/>
        <v>N</v>
      </c>
      <c r="B71" s="17" t="str">
        <f t="shared" si="1"/>
        <v/>
      </c>
      <c r="C71" s="53"/>
      <c r="D71" s="54"/>
      <c r="E71" s="55"/>
      <c r="F71" s="56"/>
      <c r="G71" s="57"/>
      <c r="H71" s="57"/>
      <c r="I71" s="59"/>
      <c r="J71" s="60"/>
      <c r="K71" s="10"/>
      <c r="L71" s="25" t="str">
        <f t="shared" si="11"/>
        <v xml:space="preserve">                              </v>
      </c>
      <c r="M71" s="27" t="str">
        <f t="shared" si="9"/>
        <v/>
      </c>
      <c r="N71" s="27" t="str">
        <f t="shared" si="10"/>
        <v>000000000000000</v>
      </c>
      <c r="O71" s="20" t="str">
        <f t="shared" si="4"/>
        <v>000</v>
      </c>
      <c r="P71" s="20" t="str">
        <f t="shared" si="5"/>
        <v>00000</v>
      </c>
      <c r="Q71" s="26" t="str">
        <f t="shared" si="6"/>
        <v xml:space="preserve"> 000000000000</v>
      </c>
      <c r="R71" s="20" t="str">
        <f t="shared" si="7"/>
        <v xml:space="preserve"> </v>
      </c>
      <c r="S71" s="10"/>
      <c r="T71" s="36" t="str">
        <f>IF($A71="S",(_xlfn.CONCAT(
REGISTRO_DETALHE!$I$4:$I$6,
'C.C.ITAU'!$B71,
REGISTRO_DETALHE!$I$8:$I$10,
'C.C.ITAU'!$O71:$R71,
'C.C.ITAU'!$L71,
REGISTRO_DETALHE!$I$14:$I$19,
'C.C.ITAU'!$N71,
REGISTRO_DETALHE!$I$21:$I$23,
'C.C.ITAU'!$N71,
REGISTRO_DETALHE!$I$25:$I$26,
'C.C.ITAU'!$M71,
REGISTRO_DETALHE!$I$28:$I$32))," ")</f>
        <v xml:space="preserve"> </v>
      </c>
      <c r="U71" s="10"/>
    </row>
    <row r="72" spans="1:21" s="16" customFormat="1" ht="21.95" customHeight="1" x14ac:dyDescent="0.25">
      <c r="A72" s="33" t="str">
        <f t="shared" si="8"/>
        <v>N</v>
      </c>
      <c r="B72" s="17" t="str">
        <f t="shared" ref="B72:B106" si="12">IF(C72="","",(TEXT((B71+1),"00000")))</f>
        <v/>
      </c>
      <c r="C72" s="53"/>
      <c r="D72" s="54"/>
      <c r="E72" s="55"/>
      <c r="F72" s="56"/>
      <c r="G72" s="57"/>
      <c r="H72" s="57"/>
      <c r="I72" s="59"/>
      <c r="J72" s="60"/>
      <c r="K72" s="10"/>
      <c r="L72" s="25" t="str">
        <f t="shared" si="11"/>
        <v xml:space="preserve">                              </v>
      </c>
      <c r="M72" s="27" t="str">
        <f t="shared" si="9"/>
        <v/>
      </c>
      <c r="N72" s="27" t="str">
        <f t="shared" si="10"/>
        <v>000000000000000</v>
      </c>
      <c r="O72" s="20" t="str">
        <f t="shared" ref="O72:O106" si="13">TEXT(F72,"000")</f>
        <v>000</v>
      </c>
      <c r="P72" s="20" t="str">
        <f t="shared" ref="P72:P106" si="14">TEXT(G72,"00000")</f>
        <v>00000</v>
      </c>
      <c r="Q72" s="26" t="str">
        <f t="shared" ref="Q72:Q106" si="15">" "&amp;(TEXT(H72,"000000000000"))</f>
        <v xml:space="preserve"> 000000000000</v>
      </c>
      <c r="R72" s="20" t="str">
        <f t="shared" ref="R72:R106" si="16">_xlfn.CONCAT(" ",I72)</f>
        <v xml:space="preserve"> </v>
      </c>
      <c r="S72" s="10"/>
      <c r="T72" s="36" t="str">
        <f>IF($A72="S",(_xlfn.CONCAT(
REGISTRO_DETALHE!$I$4:$I$6,
'C.C.ITAU'!$B72,
REGISTRO_DETALHE!$I$8:$I$10,
'C.C.ITAU'!$O72:$R72,
'C.C.ITAU'!$L72,
REGISTRO_DETALHE!$I$14:$I$19,
'C.C.ITAU'!$N72,
REGISTRO_DETALHE!$I$21:$I$23,
'C.C.ITAU'!$N72,
REGISTRO_DETALHE!$I$25:$I$26,
'C.C.ITAU'!$M72,
REGISTRO_DETALHE!$I$28:$I$32))," ")</f>
        <v xml:space="preserve"> </v>
      </c>
      <c r="U72" s="10"/>
    </row>
    <row r="73" spans="1:21" s="16" customFormat="1" ht="21.95" customHeight="1" x14ac:dyDescent="0.25">
      <c r="A73" s="33" t="str">
        <f t="shared" ref="A73:A106" si="17">IF(OR(C73="",D73="",E73="",F73="",G73="",H73="",I73=""),"N","S")</f>
        <v>N</v>
      </c>
      <c r="B73" s="17" t="str">
        <f t="shared" si="12"/>
        <v/>
      </c>
      <c r="C73" s="53"/>
      <c r="D73" s="54"/>
      <c r="E73" s="55"/>
      <c r="F73" s="56"/>
      <c r="G73" s="57"/>
      <c r="H73" s="57"/>
      <c r="I73" s="59"/>
      <c r="J73" s="60"/>
      <c r="K73" s="10"/>
      <c r="L73" s="25" t="str">
        <f t="shared" si="11"/>
        <v xml:space="preserve">                              </v>
      </c>
      <c r="M73" s="27" t="str">
        <f t="shared" si="9"/>
        <v/>
      </c>
      <c r="N73" s="27" t="str">
        <f t="shared" si="10"/>
        <v>000000000000000</v>
      </c>
      <c r="O73" s="20" t="str">
        <f t="shared" si="13"/>
        <v>000</v>
      </c>
      <c r="P73" s="20" t="str">
        <f t="shared" si="14"/>
        <v>00000</v>
      </c>
      <c r="Q73" s="26" t="str">
        <f t="shared" si="15"/>
        <v xml:space="preserve"> 000000000000</v>
      </c>
      <c r="R73" s="20" t="str">
        <f t="shared" si="16"/>
        <v xml:space="preserve"> </v>
      </c>
      <c r="S73" s="10"/>
      <c r="T73" s="36" t="str">
        <f>IF($A73="S",(_xlfn.CONCAT(
REGISTRO_DETALHE!$I$4:$I$6,
'C.C.ITAU'!$B73,
REGISTRO_DETALHE!$I$8:$I$10,
'C.C.ITAU'!$O73:$R73,
'C.C.ITAU'!$L73,
REGISTRO_DETALHE!$I$14:$I$19,
'C.C.ITAU'!$N73,
REGISTRO_DETALHE!$I$21:$I$23,
'C.C.ITAU'!$N73,
REGISTRO_DETALHE!$I$25:$I$26,
'C.C.ITAU'!$M73,
REGISTRO_DETALHE!$I$28:$I$32))," ")</f>
        <v xml:space="preserve"> </v>
      </c>
      <c r="U73" s="10"/>
    </row>
    <row r="74" spans="1:21" s="16" customFormat="1" ht="21.95" customHeight="1" x14ac:dyDescent="0.25">
      <c r="A74" s="33" t="str">
        <f t="shared" si="17"/>
        <v>N</v>
      </c>
      <c r="B74" s="17" t="str">
        <f t="shared" si="12"/>
        <v/>
      </c>
      <c r="C74" s="53"/>
      <c r="D74" s="54"/>
      <c r="E74" s="55"/>
      <c r="F74" s="56"/>
      <c r="G74" s="57"/>
      <c r="H74" s="57"/>
      <c r="I74" s="59"/>
      <c r="J74" s="60"/>
      <c r="K74" s="10"/>
      <c r="L74" s="25" t="str">
        <f t="shared" si="11"/>
        <v xml:space="preserve">                              </v>
      </c>
      <c r="M74" s="27" t="str">
        <f t="shared" ref="M74:M106" si="18">TEXT(SUBSTITUTE((SUBSTITUTE(SUBSTITUTE(D74,"-",""),".","")),"/",""),"00000000000000")</f>
        <v/>
      </c>
      <c r="N74" s="27" t="str">
        <f t="shared" si="10"/>
        <v>000000000000000</v>
      </c>
      <c r="O74" s="20" t="str">
        <f t="shared" si="13"/>
        <v>000</v>
      </c>
      <c r="P74" s="20" t="str">
        <f t="shared" si="14"/>
        <v>00000</v>
      </c>
      <c r="Q74" s="26" t="str">
        <f t="shared" si="15"/>
        <v xml:space="preserve"> 000000000000</v>
      </c>
      <c r="R74" s="20" t="str">
        <f t="shared" si="16"/>
        <v xml:space="preserve"> </v>
      </c>
      <c r="S74" s="10"/>
      <c r="T74" s="36" t="str">
        <f>IF($A74="S",(_xlfn.CONCAT(
REGISTRO_DETALHE!$I$4:$I$6,
'C.C.ITAU'!$B74,
REGISTRO_DETALHE!$I$8:$I$10,
'C.C.ITAU'!$O74:$R74,
'C.C.ITAU'!$L74,
REGISTRO_DETALHE!$I$14:$I$19,
'C.C.ITAU'!$N74,
REGISTRO_DETALHE!$I$21:$I$23,
'C.C.ITAU'!$N74,
REGISTRO_DETALHE!$I$25:$I$26,
'C.C.ITAU'!$M74,
REGISTRO_DETALHE!$I$28:$I$32))," ")</f>
        <v xml:space="preserve"> </v>
      </c>
      <c r="U74" s="10"/>
    </row>
    <row r="75" spans="1:21" s="16" customFormat="1" ht="21.95" customHeight="1" x14ac:dyDescent="0.25">
      <c r="A75" s="33" t="str">
        <f t="shared" si="17"/>
        <v>N</v>
      </c>
      <c r="B75" s="17" t="str">
        <f t="shared" si="12"/>
        <v/>
      </c>
      <c r="C75" s="53"/>
      <c r="D75" s="54"/>
      <c r="E75" s="55"/>
      <c r="F75" s="56"/>
      <c r="G75" s="57"/>
      <c r="H75" s="57"/>
      <c r="I75" s="59"/>
      <c r="J75" s="60"/>
      <c r="K75" s="10"/>
      <c r="L75" s="25" t="str">
        <f t="shared" si="11"/>
        <v xml:space="preserve">                              </v>
      </c>
      <c r="M75" s="27" t="str">
        <f t="shared" si="18"/>
        <v/>
      </c>
      <c r="N75" s="27" t="str">
        <f t="shared" si="10"/>
        <v>000000000000000</v>
      </c>
      <c r="O75" s="20" t="str">
        <f t="shared" si="13"/>
        <v>000</v>
      </c>
      <c r="P75" s="20" t="str">
        <f t="shared" si="14"/>
        <v>00000</v>
      </c>
      <c r="Q75" s="26" t="str">
        <f t="shared" si="15"/>
        <v xml:space="preserve"> 000000000000</v>
      </c>
      <c r="R75" s="20" t="str">
        <f t="shared" si="16"/>
        <v xml:space="preserve"> </v>
      </c>
      <c r="S75" s="10"/>
      <c r="T75" s="36" t="str">
        <f>IF($A75="S",(_xlfn.CONCAT(
REGISTRO_DETALHE!$I$4:$I$6,
'C.C.ITAU'!$B75,
REGISTRO_DETALHE!$I$8:$I$10,
'C.C.ITAU'!$O75:$R75,
'C.C.ITAU'!$L75,
REGISTRO_DETALHE!$I$14:$I$19,
'C.C.ITAU'!$N75,
REGISTRO_DETALHE!$I$21:$I$23,
'C.C.ITAU'!$N75,
REGISTRO_DETALHE!$I$25:$I$26,
'C.C.ITAU'!$M75,
REGISTRO_DETALHE!$I$28:$I$32))," ")</f>
        <v xml:space="preserve"> </v>
      </c>
      <c r="U75" s="10"/>
    </row>
    <row r="76" spans="1:21" s="16" customFormat="1" ht="21.95" customHeight="1" x14ac:dyDescent="0.25">
      <c r="A76" s="33" t="str">
        <f t="shared" si="17"/>
        <v>N</v>
      </c>
      <c r="B76" s="17" t="str">
        <f t="shared" si="12"/>
        <v/>
      </c>
      <c r="C76" s="53"/>
      <c r="D76" s="54"/>
      <c r="E76" s="55"/>
      <c r="F76" s="56"/>
      <c r="G76" s="57"/>
      <c r="H76" s="57"/>
      <c r="I76" s="59"/>
      <c r="J76" s="60"/>
      <c r="K76" s="10"/>
      <c r="L76" s="25" t="str">
        <f t="shared" si="11"/>
        <v xml:space="preserve">                              </v>
      </c>
      <c r="M76" s="27" t="str">
        <f t="shared" si="18"/>
        <v/>
      </c>
      <c r="N76" s="27" t="str">
        <f t="shared" ref="N76:N106" si="19">TEXT((SUBSTITUTE(SUBSTITUTE((E76*100),",",""),".","")),"000000000000000")</f>
        <v>000000000000000</v>
      </c>
      <c r="O76" s="20" t="str">
        <f t="shared" si="13"/>
        <v>000</v>
      </c>
      <c r="P76" s="20" t="str">
        <f t="shared" si="14"/>
        <v>00000</v>
      </c>
      <c r="Q76" s="26" t="str">
        <f t="shared" si="15"/>
        <v xml:space="preserve"> 000000000000</v>
      </c>
      <c r="R76" s="20" t="str">
        <f t="shared" si="16"/>
        <v xml:space="preserve"> </v>
      </c>
      <c r="S76" s="10"/>
      <c r="T76" s="36" t="str">
        <f>IF($A76="S",(_xlfn.CONCAT(
REGISTRO_DETALHE!$I$4:$I$6,
'C.C.ITAU'!$B76,
REGISTRO_DETALHE!$I$8:$I$10,
'C.C.ITAU'!$O76:$R76,
'C.C.ITAU'!$L76,
REGISTRO_DETALHE!$I$14:$I$19,
'C.C.ITAU'!$N76,
REGISTRO_DETALHE!$I$21:$I$23,
'C.C.ITAU'!$N76,
REGISTRO_DETALHE!$I$25:$I$26,
'C.C.ITAU'!$M76,
REGISTRO_DETALHE!$I$28:$I$32))," ")</f>
        <v xml:space="preserve"> </v>
      </c>
      <c r="U76" s="10"/>
    </row>
    <row r="77" spans="1:21" s="16" customFormat="1" ht="21.95" customHeight="1" x14ac:dyDescent="0.25">
      <c r="A77" s="33" t="str">
        <f t="shared" si="17"/>
        <v>N</v>
      </c>
      <c r="B77" s="17" t="str">
        <f t="shared" si="12"/>
        <v/>
      </c>
      <c r="C77" s="53"/>
      <c r="D77" s="54"/>
      <c r="E77" s="55"/>
      <c r="F77" s="56"/>
      <c r="G77" s="57"/>
      <c r="H77" s="57"/>
      <c r="I77" s="59"/>
      <c r="J77" s="60"/>
      <c r="K77" s="10"/>
      <c r="L77" s="25" t="str">
        <f t="shared" ref="L77:L106" si="20">IF(LEN(C77)&lt;30,
_xlfn.CONCAT((C77),REPT(" ",(30-(LEN(C77))))),
(LEFT(C77,30)))</f>
        <v xml:space="preserve">                              </v>
      </c>
      <c r="M77" s="27" t="str">
        <f t="shared" si="18"/>
        <v/>
      </c>
      <c r="N77" s="27" t="str">
        <f t="shared" si="19"/>
        <v>000000000000000</v>
      </c>
      <c r="O77" s="20" t="str">
        <f t="shared" si="13"/>
        <v>000</v>
      </c>
      <c r="P77" s="20" t="str">
        <f t="shared" si="14"/>
        <v>00000</v>
      </c>
      <c r="Q77" s="26" t="str">
        <f t="shared" si="15"/>
        <v xml:space="preserve"> 000000000000</v>
      </c>
      <c r="R77" s="20" t="str">
        <f t="shared" si="16"/>
        <v xml:space="preserve"> </v>
      </c>
      <c r="S77" s="10"/>
      <c r="T77" s="36" t="str">
        <f>IF($A77="S",(_xlfn.CONCAT(
REGISTRO_DETALHE!$I$4:$I$6,
'C.C.ITAU'!$B77,
REGISTRO_DETALHE!$I$8:$I$10,
'C.C.ITAU'!$O77:$R77,
'C.C.ITAU'!$L77,
REGISTRO_DETALHE!$I$14:$I$19,
'C.C.ITAU'!$N77,
REGISTRO_DETALHE!$I$21:$I$23,
'C.C.ITAU'!$N77,
REGISTRO_DETALHE!$I$25:$I$26,
'C.C.ITAU'!$M77,
REGISTRO_DETALHE!$I$28:$I$32))," ")</f>
        <v xml:space="preserve"> </v>
      </c>
      <c r="U77" s="10"/>
    </row>
    <row r="78" spans="1:21" s="16" customFormat="1" ht="21.95" customHeight="1" x14ac:dyDescent="0.25">
      <c r="A78" s="33" t="str">
        <f t="shared" si="17"/>
        <v>N</v>
      </c>
      <c r="B78" s="17" t="str">
        <f t="shared" si="12"/>
        <v/>
      </c>
      <c r="C78" s="53"/>
      <c r="D78" s="54"/>
      <c r="E78" s="55"/>
      <c r="F78" s="56"/>
      <c r="G78" s="57"/>
      <c r="H78" s="57"/>
      <c r="I78" s="59"/>
      <c r="J78" s="60"/>
      <c r="K78" s="10"/>
      <c r="L78" s="25" t="str">
        <f t="shared" si="20"/>
        <v xml:space="preserve">                              </v>
      </c>
      <c r="M78" s="27" t="str">
        <f t="shared" si="18"/>
        <v/>
      </c>
      <c r="N78" s="27" t="str">
        <f t="shared" si="19"/>
        <v>000000000000000</v>
      </c>
      <c r="O78" s="20" t="str">
        <f t="shared" si="13"/>
        <v>000</v>
      </c>
      <c r="P78" s="20" t="str">
        <f t="shared" si="14"/>
        <v>00000</v>
      </c>
      <c r="Q78" s="26" t="str">
        <f t="shared" si="15"/>
        <v xml:space="preserve"> 000000000000</v>
      </c>
      <c r="R78" s="20" t="str">
        <f t="shared" si="16"/>
        <v xml:space="preserve"> </v>
      </c>
      <c r="S78" s="10"/>
      <c r="T78" s="36" t="str">
        <f>IF($A78="S",(_xlfn.CONCAT(
REGISTRO_DETALHE!$I$4:$I$6,
'C.C.ITAU'!$B78,
REGISTRO_DETALHE!$I$8:$I$10,
'C.C.ITAU'!$O78:$R78,
'C.C.ITAU'!$L78,
REGISTRO_DETALHE!$I$14:$I$19,
'C.C.ITAU'!$N78,
REGISTRO_DETALHE!$I$21:$I$23,
'C.C.ITAU'!$N78,
REGISTRO_DETALHE!$I$25:$I$26,
'C.C.ITAU'!$M78,
REGISTRO_DETALHE!$I$28:$I$32))," ")</f>
        <v xml:space="preserve"> </v>
      </c>
      <c r="U78" s="10"/>
    </row>
    <row r="79" spans="1:21" s="16" customFormat="1" ht="21.95" customHeight="1" x14ac:dyDescent="0.25">
      <c r="A79" s="33" t="str">
        <f t="shared" si="17"/>
        <v>N</v>
      </c>
      <c r="B79" s="17" t="str">
        <f t="shared" si="12"/>
        <v/>
      </c>
      <c r="C79" s="53"/>
      <c r="D79" s="54"/>
      <c r="E79" s="55"/>
      <c r="F79" s="56"/>
      <c r="G79" s="57"/>
      <c r="H79" s="57"/>
      <c r="I79" s="59"/>
      <c r="J79" s="60"/>
      <c r="K79" s="10"/>
      <c r="L79" s="25" t="str">
        <f t="shared" si="20"/>
        <v xml:space="preserve">                              </v>
      </c>
      <c r="M79" s="27" t="str">
        <f t="shared" si="18"/>
        <v/>
      </c>
      <c r="N79" s="27" t="str">
        <f t="shared" si="19"/>
        <v>000000000000000</v>
      </c>
      <c r="O79" s="20" t="str">
        <f t="shared" si="13"/>
        <v>000</v>
      </c>
      <c r="P79" s="20" t="str">
        <f t="shared" si="14"/>
        <v>00000</v>
      </c>
      <c r="Q79" s="26" t="str">
        <f t="shared" si="15"/>
        <v xml:space="preserve"> 000000000000</v>
      </c>
      <c r="R79" s="20" t="str">
        <f t="shared" si="16"/>
        <v xml:space="preserve"> </v>
      </c>
      <c r="S79" s="10"/>
      <c r="T79" s="36" t="str">
        <f>IF($A79="S",(_xlfn.CONCAT(
REGISTRO_DETALHE!$I$4:$I$6,
'C.C.ITAU'!$B79,
REGISTRO_DETALHE!$I$8:$I$10,
'C.C.ITAU'!$O79:$R79,
'C.C.ITAU'!$L79,
REGISTRO_DETALHE!$I$14:$I$19,
'C.C.ITAU'!$N79,
REGISTRO_DETALHE!$I$21:$I$23,
'C.C.ITAU'!$N79,
REGISTRO_DETALHE!$I$25:$I$26,
'C.C.ITAU'!$M79,
REGISTRO_DETALHE!$I$28:$I$32))," ")</f>
        <v xml:space="preserve"> </v>
      </c>
      <c r="U79" s="10"/>
    </row>
    <row r="80" spans="1:21" s="16" customFormat="1" ht="21.95" customHeight="1" x14ac:dyDescent="0.25">
      <c r="A80" s="33" t="str">
        <f t="shared" si="17"/>
        <v>N</v>
      </c>
      <c r="B80" s="17" t="str">
        <f t="shared" si="12"/>
        <v/>
      </c>
      <c r="C80" s="53"/>
      <c r="D80" s="54"/>
      <c r="E80" s="55"/>
      <c r="F80" s="56"/>
      <c r="G80" s="57"/>
      <c r="H80" s="57"/>
      <c r="I80" s="59"/>
      <c r="J80" s="60"/>
      <c r="K80" s="10"/>
      <c r="L80" s="25" t="str">
        <f t="shared" si="20"/>
        <v xml:space="preserve">                              </v>
      </c>
      <c r="M80" s="27" t="str">
        <f t="shared" si="18"/>
        <v/>
      </c>
      <c r="N80" s="27" t="str">
        <f t="shared" si="19"/>
        <v>000000000000000</v>
      </c>
      <c r="O80" s="20" t="str">
        <f t="shared" si="13"/>
        <v>000</v>
      </c>
      <c r="P80" s="20" t="str">
        <f t="shared" si="14"/>
        <v>00000</v>
      </c>
      <c r="Q80" s="26" t="str">
        <f t="shared" si="15"/>
        <v xml:space="preserve"> 000000000000</v>
      </c>
      <c r="R80" s="20" t="str">
        <f t="shared" si="16"/>
        <v xml:space="preserve"> </v>
      </c>
      <c r="S80" s="10"/>
      <c r="T80" s="36" t="str">
        <f>IF($A80="S",(_xlfn.CONCAT(
REGISTRO_DETALHE!$I$4:$I$6,
'C.C.ITAU'!$B80,
REGISTRO_DETALHE!$I$8:$I$10,
'C.C.ITAU'!$O80:$R80,
'C.C.ITAU'!$L80,
REGISTRO_DETALHE!$I$14:$I$19,
'C.C.ITAU'!$N80,
REGISTRO_DETALHE!$I$21:$I$23,
'C.C.ITAU'!$N80,
REGISTRO_DETALHE!$I$25:$I$26,
'C.C.ITAU'!$M80,
REGISTRO_DETALHE!$I$28:$I$32))," ")</f>
        <v xml:space="preserve"> </v>
      </c>
      <c r="U80" s="10"/>
    </row>
    <row r="81" spans="1:21" s="16" customFormat="1" ht="21.95" customHeight="1" x14ac:dyDescent="0.25">
      <c r="A81" s="33" t="str">
        <f t="shared" si="17"/>
        <v>N</v>
      </c>
      <c r="B81" s="17" t="str">
        <f t="shared" si="12"/>
        <v/>
      </c>
      <c r="C81" s="53"/>
      <c r="D81" s="54"/>
      <c r="E81" s="55"/>
      <c r="F81" s="56"/>
      <c r="G81" s="57"/>
      <c r="H81" s="57"/>
      <c r="I81" s="59"/>
      <c r="J81" s="60"/>
      <c r="K81" s="10"/>
      <c r="L81" s="25" t="str">
        <f t="shared" si="20"/>
        <v xml:space="preserve">                              </v>
      </c>
      <c r="M81" s="27" t="str">
        <f t="shared" si="18"/>
        <v/>
      </c>
      <c r="N81" s="27" t="str">
        <f t="shared" si="19"/>
        <v>000000000000000</v>
      </c>
      <c r="O81" s="20" t="str">
        <f t="shared" si="13"/>
        <v>000</v>
      </c>
      <c r="P81" s="20" t="str">
        <f t="shared" si="14"/>
        <v>00000</v>
      </c>
      <c r="Q81" s="26" t="str">
        <f t="shared" si="15"/>
        <v xml:space="preserve"> 000000000000</v>
      </c>
      <c r="R81" s="20" t="str">
        <f t="shared" si="16"/>
        <v xml:space="preserve"> </v>
      </c>
      <c r="S81" s="10"/>
      <c r="T81" s="36" t="str">
        <f>IF($A81="S",(_xlfn.CONCAT(
REGISTRO_DETALHE!$I$4:$I$6,
'C.C.ITAU'!$B81,
REGISTRO_DETALHE!$I$8:$I$10,
'C.C.ITAU'!$O81:$R81,
'C.C.ITAU'!$L81,
REGISTRO_DETALHE!$I$14:$I$19,
'C.C.ITAU'!$N81,
REGISTRO_DETALHE!$I$21:$I$23,
'C.C.ITAU'!$N81,
REGISTRO_DETALHE!$I$25:$I$26,
'C.C.ITAU'!$M81,
REGISTRO_DETALHE!$I$28:$I$32))," ")</f>
        <v xml:space="preserve"> </v>
      </c>
      <c r="U81" s="10"/>
    </row>
    <row r="82" spans="1:21" s="16" customFormat="1" ht="21.95" customHeight="1" x14ac:dyDescent="0.25">
      <c r="A82" s="33" t="str">
        <f t="shared" si="17"/>
        <v>N</v>
      </c>
      <c r="B82" s="17" t="str">
        <f t="shared" si="12"/>
        <v/>
      </c>
      <c r="C82" s="53"/>
      <c r="D82" s="54"/>
      <c r="E82" s="55"/>
      <c r="F82" s="56"/>
      <c r="G82" s="57"/>
      <c r="H82" s="57"/>
      <c r="I82" s="59"/>
      <c r="J82" s="60"/>
      <c r="K82" s="10"/>
      <c r="L82" s="25" t="str">
        <f t="shared" si="20"/>
        <v xml:space="preserve">                              </v>
      </c>
      <c r="M82" s="27" t="str">
        <f t="shared" si="18"/>
        <v/>
      </c>
      <c r="N82" s="27" t="str">
        <f t="shared" si="19"/>
        <v>000000000000000</v>
      </c>
      <c r="O82" s="20" t="str">
        <f t="shared" si="13"/>
        <v>000</v>
      </c>
      <c r="P82" s="20" t="str">
        <f t="shared" si="14"/>
        <v>00000</v>
      </c>
      <c r="Q82" s="26" t="str">
        <f t="shared" si="15"/>
        <v xml:space="preserve"> 000000000000</v>
      </c>
      <c r="R82" s="20" t="str">
        <f t="shared" si="16"/>
        <v xml:space="preserve"> </v>
      </c>
      <c r="S82" s="10"/>
      <c r="T82" s="36" t="str">
        <f>IF($A82="S",(_xlfn.CONCAT(
REGISTRO_DETALHE!$I$4:$I$6,
'C.C.ITAU'!$B82,
REGISTRO_DETALHE!$I$8:$I$10,
'C.C.ITAU'!$O82:$R82,
'C.C.ITAU'!$L82,
REGISTRO_DETALHE!$I$14:$I$19,
'C.C.ITAU'!$N82,
REGISTRO_DETALHE!$I$21:$I$23,
'C.C.ITAU'!$N82,
REGISTRO_DETALHE!$I$25:$I$26,
'C.C.ITAU'!$M82,
REGISTRO_DETALHE!$I$28:$I$32))," ")</f>
        <v xml:space="preserve"> </v>
      </c>
      <c r="U82" s="10"/>
    </row>
    <row r="83" spans="1:21" s="16" customFormat="1" ht="21.95" customHeight="1" x14ac:dyDescent="0.25">
      <c r="A83" s="33" t="str">
        <f t="shared" si="17"/>
        <v>N</v>
      </c>
      <c r="B83" s="17" t="str">
        <f t="shared" si="12"/>
        <v/>
      </c>
      <c r="C83" s="53"/>
      <c r="D83" s="54"/>
      <c r="E83" s="55"/>
      <c r="F83" s="56"/>
      <c r="G83" s="57"/>
      <c r="H83" s="57"/>
      <c r="I83" s="59"/>
      <c r="J83" s="60"/>
      <c r="K83" s="10"/>
      <c r="L83" s="25" t="str">
        <f t="shared" si="20"/>
        <v xml:space="preserve">                              </v>
      </c>
      <c r="M83" s="27" t="str">
        <f t="shared" si="18"/>
        <v/>
      </c>
      <c r="N83" s="27" t="str">
        <f t="shared" si="19"/>
        <v>000000000000000</v>
      </c>
      <c r="O83" s="20" t="str">
        <f t="shared" si="13"/>
        <v>000</v>
      </c>
      <c r="P83" s="20" t="str">
        <f t="shared" si="14"/>
        <v>00000</v>
      </c>
      <c r="Q83" s="26" t="str">
        <f t="shared" si="15"/>
        <v xml:space="preserve"> 000000000000</v>
      </c>
      <c r="R83" s="20" t="str">
        <f t="shared" si="16"/>
        <v xml:space="preserve"> </v>
      </c>
      <c r="S83" s="10"/>
      <c r="T83" s="36" t="str">
        <f>IF($A83="S",(_xlfn.CONCAT(
REGISTRO_DETALHE!$I$4:$I$6,
'C.C.ITAU'!$B83,
REGISTRO_DETALHE!$I$8:$I$10,
'C.C.ITAU'!$O83:$R83,
'C.C.ITAU'!$L83,
REGISTRO_DETALHE!$I$14:$I$19,
'C.C.ITAU'!$N83,
REGISTRO_DETALHE!$I$21:$I$23,
'C.C.ITAU'!$N83,
REGISTRO_DETALHE!$I$25:$I$26,
'C.C.ITAU'!$M83,
REGISTRO_DETALHE!$I$28:$I$32))," ")</f>
        <v xml:space="preserve"> </v>
      </c>
      <c r="U83" s="10"/>
    </row>
    <row r="84" spans="1:21" s="16" customFormat="1" ht="21.95" customHeight="1" x14ac:dyDescent="0.25">
      <c r="A84" s="33" t="str">
        <f t="shared" si="17"/>
        <v>N</v>
      </c>
      <c r="B84" s="17" t="str">
        <f t="shared" si="12"/>
        <v/>
      </c>
      <c r="C84" s="53"/>
      <c r="D84" s="54"/>
      <c r="E84" s="55"/>
      <c r="F84" s="56"/>
      <c r="G84" s="57"/>
      <c r="H84" s="57"/>
      <c r="I84" s="59"/>
      <c r="J84" s="60"/>
      <c r="K84" s="10"/>
      <c r="L84" s="25" t="str">
        <f t="shared" si="20"/>
        <v xml:space="preserve">                              </v>
      </c>
      <c r="M84" s="27" t="str">
        <f t="shared" si="18"/>
        <v/>
      </c>
      <c r="N84" s="27" t="str">
        <f t="shared" si="19"/>
        <v>000000000000000</v>
      </c>
      <c r="O84" s="20" t="str">
        <f t="shared" si="13"/>
        <v>000</v>
      </c>
      <c r="P84" s="20" t="str">
        <f t="shared" si="14"/>
        <v>00000</v>
      </c>
      <c r="Q84" s="26" t="str">
        <f t="shared" si="15"/>
        <v xml:space="preserve"> 000000000000</v>
      </c>
      <c r="R84" s="20" t="str">
        <f t="shared" si="16"/>
        <v xml:space="preserve"> </v>
      </c>
      <c r="S84" s="10"/>
      <c r="T84" s="36" t="str">
        <f>IF($A84="S",(_xlfn.CONCAT(
REGISTRO_DETALHE!$I$4:$I$6,
'C.C.ITAU'!$B84,
REGISTRO_DETALHE!$I$8:$I$10,
'C.C.ITAU'!$O84:$R84,
'C.C.ITAU'!$L84,
REGISTRO_DETALHE!$I$14:$I$19,
'C.C.ITAU'!$N84,
REGISTRO_DETALHE!$I$21:$I$23,
'C.C.ITAU'!$N84,
REGISTRO_DETALHE!$I$25:$I$26,
'C.C.ITAU'!$M84,
REGISTRO_DETALHE!$I$28:$I$32))," ")</f>
        <v xml:space="preserve"> </v>
      </c>
      <c r="U84" s="10"/>
    </row>
    <row r="85" spans="1:21" s="16" customFormat="1" ht="21.95" customHeight="1" x14ac:dyDescent="0.25">
      <c r="A85" s="33" t="str">
        <f t="shared" si="17"/>
        <v>N</v>
      </c>
      <c r="B85" s="17" t="str">
        <f t="shared" si="12"/>
        <v/>
      </c>
      <c r="C85" s="53"/>
      <c r="D85" s="54"/>
      <c r="E85" s="55"/>
      <c r="F85" s="56"/>
      <c r="G85" s="57"/>
      <c r="H85" s="57"/>
      <c r="I85" s="59"/>
      <c r="J85" s="60"/>
      <c r="K85" s="10"/>
      <c r="L85" s="25" t="str">
        <f t="shared" si="20"/>
        <v xml:space="preserve">                              </v>
      </c>
      <c r="M85" s="27" t="str">
        <f t="shared" si="18"/>
        <v/>
      </c>
      <c r="N85" s="27" t="str">
        <f t="shared" si="19"/>
        <v>000000000000000</v>
      </c>
      <c r="O85" s="20" t="str">
        <f t="shared" si="13"/>
        <v>000</v>
      </c>
      <c r="P85" s="20" t="str">
        <f t="shared" si="14"/>
        <v>00000</v>
      </c>
      <c r="Q85" s="26" t="str">
        <f t="shared" si="15"/>
        <v xml:space="preserve"> 000000000000</v>
      </c>
      <c r="R85" s="20" t="str">
        <f t="shared" si="16"/>
        <v xml:space="preserve"> </v>
      </c>
      <c r="S85" s="10"/>
      <c r="T85" s="36" t="str">
        <f>IF($A85="S",(_xlfn.CONCAT(
REGISTRO_DETALHE!$I$4:$I$6,
'C.C.ITAU'!$B85,
REGISTRO_DETALHE!$I$8:$I$10,
'C.C.ITAU'!$O85:$R85,
'C.C.ITAU'!$L85,
REGISTRO_DETALHE!$I$14:$I$19,
'C.C.ITAU'!$N85,
REGISTRO_DETALHE!$I$21:$I$23,
'C.C.ITAU'!$N85,
REGISTRO_DETALHE!$I$25:$I$26,
'C.C.ITAU'!$M85,
REGISTRO_DETALHE!$I$28:$I$32))," ")</f>
        <v xml:space="preserve"> </v>
      </c>
      <c r="U85" s="10"/>
    </row>
    <row r="86" spans="1:21" s="16" customFormat="1" ht="21.95" customHeight="1" x14ac:dyDescent="0.25">
      <c r="A86" s="33" t="str">
        <f t="shared" si="17"/>
        <v>N</v>
      </c>
      <c r="B86" s="17" t="str">
        <f t="shared" si="12"/>
        <v/>
      </c>
      <c r="C86" s="53"/>
      <c r="D86" s="54"/>
      <c r="E86" s="55"/>
      <c r="F86" s="56"/>
      <c r="G86" s="57"/>
      <c r="H86" s="57"/>
      <c r="I86" s="59"/>
      <c r="J86" s="60"/>
      <c r="K86" s="10"/>
      <c r="L86" s="25" t="str">
        <f t="shared" si="20"/>
        <v xml:space="preserve">                              </v>
      </c>
      <c r="M86" s="27" t="str">
        <f t="shared" si="18"/>
        <v/>
      </c>
      <c r="N86" s="27" t="str">
        <f t="shared" si="19"/>
        <v>000000000000000</v>
      </c>
      <c r="O86" s="20" t="str">
        <f t="shared" si="13"/>
        <v>000</v>
      </c>
      <c r="P86" s="20" t="str">
        <f t="shared" si="14"/>
        <v>00000</v>
      </c>
      <c r="Q86" s="26" t="str">
        <f t="shared" si="15"/>
        <v xml:space="preserve"> 000000000000</v>
      </c>
      <c r="R86" s="20" t="str">
        <f t="shared" si="16"/>
        <v xml:space="preserve"> </v>
      </c>
      <c r="S86" s="10"/>
      <c r="T86" s="36" t="str">
        <f>IF($A86="S",(_xlfn.CONCAT(
REGISTRO_DETALHE!$I$4:$I$6,
'C.C.ITAU'!$B86,
REGISTRO_DETALHE!$I$8:$I$10,
'C.C.ITAU'!$O86:$R86,
'C.C.ITAU'!$L86,
REGISTRO_DETALHE!$I$14:$I$19,
'C.C.ITAU'!$N86,
REGISTRO_DETALHE!$I$21:$I$23,
'C.C.ITAU'!$N86,
REGISTRO_DETALHE!$I$25:$I$26,
'C.C.ITAU'!$M86,
REGISTRO_DETALHE!$I$28:$I$32))," ")</f>
        <v xml:space="preserve"> </v>
      </c>
      <c r="U86" s="10"/>
    </row>
    <row r="87" spans="1:21" s="16" customFormat="1" ht="21.95" customHeight="1" x14ac:dyDescent="0.25">
      <c r="A87" s="33" t="str">
        <f t="shared" si="17"/>
        <v>N</v>
      </c>
      <c r="B87" s="17" t="str">
        <f t="shared" si="12"/>
        <v/>
      </c>
      <c r="C87" s="53"/>
      <c r="D87" s="54"/>
      <c r="E87" s="55"/>
      <c r="F87" s="56"/>
      <c r="G87" s="57"/>
      <c r="H87" s="57"/>
      <c r="I87" s="59"/>
      <c r="J87" s="60"/>
      <c r="K87" s="10"/>
      <c r="L87" s="25" t="str">
        <f t="shared" si="20"/>
        <v xml:space="preserve">                              </v>
      </c>
      <c r="M87" s="27" t="str">
        <f t="shared" si="18"/>
        <v/>
      </c>
      <c r="N87" s="27" t="str">
        <f t="shared" si="19"/>
        <v>000000000000000</v>
      </c>
      <c r="O87" s="20" t="str">
        <f t="shared" si="13"/>
        <v>000</v>
      </c>
      <c r="P87" s="20" t="str">
        <f t="shared" si="14"/>
        <v>00000</v>
      </c>
      <c r="Q87" s="26" t="str">
        <f t="shared" si="15"/>
        <v xml:space="preserve"> 000000000000</v>
      </c>
      <c r="R87" s="20" t="str">
        <f t="shared" si="16"/>
        <v xml:space="preserve"> </v>
      </c>
      <c r="S87" s="10"/>
      <c r="T87" s="36" t="str">
        <f>IF($A87="S",(_xlfn.CONCAT(
REGISTRO_DETALHE!$I$4:$I$6,
'C.C.ITAU'!$B87,
REGISTRO_DETALHE!$I$8:$I$10,
'C.C.ITAU'!$O87:$R87,
'C.C.ITAU'!$L87,
REGISTRO_DETALHE!$I$14:$I$19,
'C.C.ITAU'!$N87,
REGISTRO_DETALHE!$I$21:$I$23,
'C.C.ITAU'!$N87,
REGISTRO_DETALHE!$I$25:$I$26,
'C.C.ITAU'!$M87,
REGISTRO_DETALHE!$I$28:$I$32))," ")</f>
        <v xml:space="preserve"> </v>
      </c>
      <c r="U87" s="10"/>
    </row>
    <row r="88" spans="1:21" s="16" customFormat="1" ht="21.95" customHeight="1" x14ac:dyDescent="0.25">
      <c r="A88" s="33" t="str">
        <f t="shared" si="17"/>
        <v>N</v>
      </c>
      <c r="B88" s="17" t="str">
        <f t="shared" si="12"/>
        <v/>
      </c>
      <c r="C88" s="53"/>
      <c r="D88" s="54"/>
      <c r="E88" s="55"/>
      <c r="F88" s="56"/>
      <c r="G88" s="57"/>
      <c r="H88" s="57"/>
      <c r="I88" s="59"/>
      <c r="J88" s="60"/>
      <c r="K88" s="10"/>
      <c r="L88" s="25" t="str">
        <f t="shared" si="20"/>
        <v xml:space="preserve">                              </v>
      </c>
      <c r="M88" s="27" t="str">
        <f t="shared" si="18"/>
        <v/>
      </c>
      <c r="N88" s="27" t="str">
        <f t="shared" si="19"/>
        <v>000000000000000</v>
      </c>
      <c r="O88" s="20" t="str">
        <f t="shared" si="13"/>
        <v>000</v>
      </c>
      <c r="P88" s="20" t="str">
        <f t="shared" si="14"/>
        <v>00000</v>
      </c>
      <c r="Q88" s="26" t="str">
        <f t="shared" si="15"/>
        <v xml:space="preserve"> 000000000000</v>
      </c>
      <c r="R88" s="20" t="str">
        <f t="shared" si="16"/>
        <v xml:space="preserve"> </v>
      </c>
      <c r="S88" s="10"/>
      <c r="T88" s="36" t="str">
        <f>IF($A88="S",(_xlfn.CONCAT(
REGISTRO_DETALHE!$I$4:$I$6,
'C.C.ITAU'!$B88,
REGISTRO_DETALHE!$I$8:$I$10,
'C.C.ITAU'!$O88:$R88,
'C.C.ITAU'!$L88,
REGISTRO_DETALHE!$I$14:$I$19,
'C.C.ITAU'!$N88,
REGISTRO_DETALHE!$I$21:$I$23,
'C.C.ITAU'!$N88,
REGISTRO_DETALHE!$I$25:$I$26,
'C.C.ITAU'!$M88,
REGISTRO_DETALHE!$I$28:$I$32))," ")</f>
        <v xml:space="preserve"> </v>
      </c>
      <c r="U88" s="10"/>
    </row>
    <row r="89" spans="1:21" s="16" customFormat="1" ht="21.95" customHeight="1" x14ac:dyDescent="0.25">
      <c r="A89" s="33" t="str">
        <f t="shared" si="17"/>
        <v>N</v>
      </c>
      <c r="B89" s="17" t="str">
        <f t="shared" si="12"/>
        <v/>
      </c>
      <c r="C89" s="53"/>
      <c r="D89" s="54"/>
      <c r="E89" s="55"/>
      <c r="F89" s="56"/>
      <c r="G89" s="57"/>
      <c r="H89" s="57"/>
      <c r="I89" s="59"/>
      <c r="J89" s="60"/>
      <c r="K89" s="10"/>
      <c r="L89" s="25" t="str">
        <f t="shared" si="20"/>
        <v xml:space="preserve">                              </v>
      </c>
      <c r="M89" s="27" t="str">
        <f t="shared" si="18"/>
        <v/>
      </c>
      <c r="N89" s="27" t="str">
        <f t="shared" si="19"/>
        <v>000000000000000</v>
      </c>
      <c r="O89" s="20" t="str">
        <f t="shared" si="13"/>
        <v>000</v>
      </c>
      <c r="P89" s="20" t="str">
        <f t="shared" si="14"/>
        <v>00000</v>
      </c>
      <c r="Q89" s="26" t="str">
        <f t="shared" si="15"/>
        <v xml:space="preserve"> 000000000000</v>
      </c>
      <c r="R89" s="20" t="str">
        <f t="shared" si="16"/>
        <v xml:space="preserve"> </v>
      </c>
      <c r="S89" s="10"/>
      <c r="T89" s="36" t="str">
        <f>IF($A89="S",(_xlfn.CONCAT(
REGISTRO_DETALHE!$I$4:$I$6,
'C.C.ITAU'!$B89,
REGISTRO_DETALHE!$I$8:$I$10,
'C.C.ITAU'!$O89:$R89,
'C.C.ITAU'!$L89,
REGISTRO_DETALHE!$I$14:$I$19,
'C.C.ITAU'!$N89,
REGISTRO_DETALHE!$I$21:$I$23,
'C.C.ITAU'!$N89,
REGISTRO_DETALHE!$I$25:$I$26,
'C.C.ITAU'!$M89,
REGISTRO_DETALHE!$I$28:$I$32))," ")</f>
        <v xml:space="preserve"> </v>
      </c>
      <c r="U89" s="10"/>
    </row>
    <row r="90" spans="1:21" s="16" customFormat="1" ht="21.95" customHeight="1" x14ac:dyDescent="0.25">
      <c r="A90" s="33" t="str">
        <f t="shared" si="17"/>
        <v>N</v>
      </c>
      <c r="B90" s="17" t="str">
        <f t="shared" si="12"/>
        <v/>
      </c>
      <c r="C90" s="53"/>
      <c r="D90" s="54"/>
      <c r="E90" s="55"/>
      <c r="F90" s="56"/>
      <c r="G90" s="57"/>
      <c r="H90" s="57"/>
      <c r="I90" s="59"/>
      <c r="J90" s="60"/>
      <c r="K90" s="10"/>
      <c r="L90" s="25" t="str">
        <f t="shared" si="20"/>
        <v xml:space="preserve">                              </v>
      </c>
      <c r="M90" s="27" t="str">
        <f t="shared" si="18"/>
        <v/>
      </c>
      <c r="N90" s="27" t="str">
        <f t="shared" si="19"/>
        <v>000000000000000</v>
      </c>
      <c r="O90" s="20" t="str">
        <f t="shared" si="13"/>
        <v>000</v>
      </c>
      <c r="P90" s="20" t="str">
        <f t="shared" si="14"/>
        <v>00000</v>
      </c>
      <c r="Q90" s="26" t="str">
        <f t="shared" si="15"/>
        <v xml:space="preserve"> 000000000000</v>
      </c>
      <c r="R90" s="20" t="str">
        <f t="shared" si="16"/>
        <v xml:space="preserve"> </v>
      </c>
      <c r="S90" s="10"/>
      <c r="T90" s="36" t="str">
        <f>IF($A90="S",(_xlfn.CONCAT(
REGISTRO_DETALHE!$I$4:$I$6,
'C.C.ITAU'!$B90,
REGISTRO_DETALHE!$I$8:$I$10,
'C.C.ITAU'!$O90:$R90,
'C.C.ITAU'!$L90,
REGISTRO_DETALHE!$I$14:$I$19,
'C.C.ITAU'!$N90,
REGISTRO_DETALHE!$I$21:$I$23,
'C.C.ITAU'!$N90,
REGISTRO_DETALHE!$I$25:$I$26,
'C.C.ITAU'!$M90,
REGISTRO_DETALHE!$I$28:$I$32))," ")</f>
        <v xml:space="preserve"> </v>
      </c>
      <c r="U90" s="10"/>
    </row>
    <row r="91" spans="1:21" s="16" customFormat="1" ht="21.95" customHeight="1" x14ac:dyDescent="0.25">
      <c r="A91" s="33" t="str">
        <f t="shared" si="17"/>
        <v>N</v>
      </c>
      <c r="B91" s="17" t="str">
        <f t="shared" si="12"/>
        <v/>
      </c>
      <c r="C91" s="53"/>
      <c r="D91" s="54"/>
      <c r="E91" s="55"/>
      <c r="F91" s="56"/>
      <c r="G91" s="57"/>
      <c r="H91" s="57"/>
      <c r="I91" s="59"/>
      <c r="J91" s="60"/>
      <c r="K91" s="10"/>
      <c r="L91" s="25" t="str">
        <f t="shared" si="20"/>
        <v xml:space="preserve">                              </v>
      </c>
      <c r="M91" s="27" t="str">
        <f t="shared" si="18"/>
        <v/>
      </c>
      <c r="N91" s="27" t="str">
        <f t="shared" si="19"/>
        <v>000000000000000</v>
      </c>
      <c r="O91" s="20" t="str">
        <f t="shared" si="13"/>
        <v>000</v>
      </c>
      <c r="P91" s="20" t="str">
        <f t="shared" si="14"/>
        <v>00000</v>
      </c>
      <c r="Q91" s="26" t="str">
        <f t="shared" si="15"/>
        <v xml:space="preserve"> 000000000000</v>
      </c>
      <c r="R91" s="20" t="str">
        <f t="shared" si="16"/>
        <v xml:space="preserve"> </v>
      </c>
      <c r="S91" s="10"/>
      <c r="T91" s="36" t="str">
        <f>IF($A91="S",(_xlfn.CONCAT(
REGISTRO_DETALHE!$I$4:$I$6,
'C.C.ITAU'!$B91,
REGISTRO_DETALHE!$I$8:$I$10,
'C.C.ITAU'!$O91:$R91,
'C.C.ITAU'!$L91,
REGISTRO_DETALHE!$I$14:$I$19,
'C.C.ITAU'!$N91,
REGISTRO_DETALHE!$I$21:$I$23,
'C.C.ITAU'!$N91,
REGISTRO_DETALHE!$I$25:$I$26,
'C.C.ITAU'!$M91,
REGISTRO_DETALHE!$I$28:$I$32))," ")</f>
        <v xml:space="preserve"> </v>
      </c>
      <c r="U91" s="10"/>
    </row>
    <row r="92" spans="1:21" s="16" customFormat="1" ht="21.95" customHeight="1" x14ac:dyDescent="0.25">
      <c r="A92" s="33" t="str">
        <f t="shared" si="17"/>
        <v>N</v>
      </c>
      <c r="B92" s="17" t="str">
        <f t="shared" si="12"/>
        <v/>
      </c>
      <c r="C92" s="53"/>
      <c r="D92" s="54"/>
      <c r="E92" s="55"/>
      <c r="F92" s="56"/>
      <c r="G92" s="57"/>
      <c r="H92" s="57"/>
      <c r="I92" s="59"/>
      <c r="J92" s="60"/>
      <c r="K92" s="10"/>
      <c r="L92" s="25" t="str">
        <f t="shared" si="20"/>
        <v xml:space="preserve">                              </v>
      </c>
      <c r="M92" s="27" t="str">
        <f t="shared" si="18"/>
        <v/>
      </c>
      <c r="N92" s="27" t="str">
        <f t="shared" si="19"/>
        <v>000000000000000</v>
      </c>
      <c r="O92" s="20" t="str">
        <f t="shared" si="13"/>
        <v>000</v>
      </c>
      <c r="P92" s="20" t="str">
        <f t="shared" si="14"/>
        <v>00000</v>
      </c>
      <c r="Q92" s="26" t="str">
        <f t="shared" si="15"/>
        <v xml:space="preserve"> 000000000000</v>
      </c>
      <c r="R92" s="20" t="str">
        <f t="shared" si="16"/>
        <v xml:space="preserve"> </v>
      </c>
      <c r="S92" s="10"/>
      <c r="T92" s="36" t="str">
        <f>IF($A92="S",(_xlfn.CONCAT(
REGISTRO_DETALHE!$I$4:$I$6,
'C.C.ITAU'!$B92,
REGISTRO_DETALHE!$I$8:$I$10,
'C.C.ITAU'!$O92:$R92,
'C.C.ITAU'!$L92,
REGISTRO_DETALHE!$I$14:$I$19,
'C.C.ITAU'!$N92,
REGISTRO_DETALHE!$I$21:$I$23,
'C.C.ITAU'!$N92,
REGISTRO_DETALHE!$I$25:$I$26,
'C.C.ITAU'!$M92,
REGISTRO_DETALHE!$I$28:$I$32))," ")</f>
        <v xml:space="preserve"> </v>
      </c>
      <c r="U92" s="10"/>
    </row>
    <row r="93" spans="1:21" s="16" customFormat="1" ht="21.95" customHeight="1" x14ac:dyDescent="0.25">
      <c r="A93" s="33" t="str">
        <f t="shared" si="17"/>
        <v>N</v>
      </c>
      <c r="B93" s="17" t="str">
        <f t="shared" si="12"/>
        <v/>
      </c>
      <c r="C93" s="53"/>
      <c r="D93" s="54"/>
      <c r="E93" s="55"/>
      <c r="F93" s="56"/>
      <c r="G93" s="57"/>
      <c r="H93" s="57"/>
      <c r="I93" s="59"/>
      <c r="J93" s="60"/>
      <c r="K93" s="10"/>
      <c r="L93" s="25" t="str">
        <f t="shared" si="20"/>
        <v xml:space="preserve">                              </v>
      </c>
      <c r="M93" s="27" t="str">
        <f t="shared" si="18"/>
        <v/>
      </c>
      <c r="N93" s="27" t="str">
        <f t="shared" si="19"/>
        <v>000000000000000</v>
      </c>
      <c r="O93" s="20" t="str">
        <f t="shared" si="13"/>
        <v>000</v>
      </c>
      <c r="P93" s="20" t="str">
        <f t="shared" si="14"/>
        <v>00000</v>
      </c>
      <c r="Q93" s="26" t="str">
        <f t="shared" si="15"/>
        <v xml:space="preserve"> 000000000000</v>
      </c>
      <c r="R93" s="20" t="str">
        <f t="shared" si="16"/>
        <v xml:space="preserve"> </v>
      </c>
      <c r="S93" s="10"/>
      <c r="T93" s="36" t="str">
        <f>IF($A93="S",(_xlfn.CONCAT(
REGISTRO_DETALHE!$I$4:$I$6,
'C.C.ITAU'!$B93,
REGISTRO_DETALHE!$I$8:$I$10,
'C.C.ITAU'!$O93:$R93,
'C.C.ITAU'!$L93,
REGISTRO_DETALHE!$I$14:$I$19,
'C.C.ITAU'!$N93,
REGISTRO_DETALHE!$I$21:$I$23,
'C.C.ITAU'!$N93,
REGISTRO_DETALHE!$I$25:$I$26,
'C.C.ITAU'!$M93,
REGISTRO_DETALHE!$I$28:$I$32))," ")</f>
        <v xml:space="preserve"> </v>
      </c>
      <c r="U93" s="10"/>
    </row>
    <row r="94" spans="1:21" s="16" customFormat="1" ht="21.95" customHeight="1" x14ac:dyDescent="0.25">
      <c r="A94" s="33" t="str">
        <f t="shared" si="17"/>
        <v>N</v>
      </c>
      <c r="B94" s="17" t="str">
        <f t="shared" si="12"/>
        <v/>
      </c>
      <c r="C94" s="53"/>
      <c r="D94" s="54"/>
      <c r="E94" s="55"/>
      <c r="F94" s="56"/>
      <c r="G94" s="57"/>
      <c r="H94" s="57"/>
      <c r="I94" s="59"/>
      <c r="J94" s="60"/>
      <c r="K94" s="10"/>
      <c r="L94" s="25" t="str">
        <f t="shared" si="20"/>
        <v xml:space="preserve">                              </v>
      </c>
      <c r="M94" s="27" t="str">
        <f t="shared" si="18"/>
        <v/>
      </c>
      <c r="N94" s="27" t="str">
        <f t="shared" si="19"/>
        <v>000000000000000</v>
      </c>
      <c r="O94" s="20" t="str">
        <f t="shared" si="13"/>
        <v>000</v>
      </c>
      <c r="P94" s="20" t="str">
        <f t="shared" si="14"/>
        <v>00000</v>
      </c>
      <c r="Q94" s="26" t="str">
        <f t="shared" si="15"/>
        <v xml:space="preserve"> 000000000000</v>
      </c>
      <c r="R94" s="20" t="str">
        <f t="shared" si="16"/>
        <v xml:space="preserve"> </v>
      </c>
      <c r="S94" s="10"/>
      <c r="T94" s="36" t="str">
        <f>IF($A94="S",(_xlfn.CONCAT(
REGISTRO_DETALHE!$I$4:$I$6,
'C.C.ITAU'!$B94,
REGISTRO_DETALHE!$I$8:$I$10,
'C.C.ITAU'!$O94:$R94,
'C.C.ITAU'!$L94,
REGISTRO_DETALHE!$I$14:$I$19,
'C.C.ITAU'!$N94,
REGISTRO_DETALHE!$I$21:$I$23,
'C.C.ITAU'!$N94,
REGISTRO_DETALHE!$I$25:$I$26,
'C.C.ITAU'!$M94,
REGISTRO_DETALHE!$I$28:$I$32))," ")</f>
        <v xml:space="preserve"> </v>
      </c>
      <c r="U94" s="10"/>
    </row>
    <row r="95" spans="1:21" s="16" customFormat="1" ht="21.95" customHeight="1" x14ac:dyDescent="0.25">
      <c r="A95" s="33" t="str">
        <f t="shared" si="17"/>
        <v>N</v>
      </c>
      <c r="B95" s="17" t="str">
        <f t="shared" si="12"/>
        <v/>
      </c>
      <c r="C95" s="53"/>
      <c r="D95" s="54"/>
      <c r="E95" s="55"/>
      <c r="F95" s="56"/>
      <c r="G95" s="57"/>
      <c r="H95" s="57"/>
      <c r="I95" s="59"/>
      <c r="J95" s="60"/>
      <c r="K95" s="10"/>
      <c r="L95" s="25" t="str">
        <f t="shared" si="20"/>
        <v xml:space="preserve">                              </v>
      </c>
      <c r="M95" s="27" t="str">
        <f t="shared" si="18"/>
        <v/>
      </c>
      <c r="N95" s="27" t="str">
        <f t="shared" si="19"/>
        <v>000000000000000</v>
      </c>
      <c r="O95" s="20" t="str">
        <f t="shared" si="13"/>
        <v>000</v>
      </c>
      <c r="P95" s="20" t="str">
        <f t="shared" si="14"/>
        <v>00000</v>
      </c>
      <c r="Q95" s="26" t="str">
        <f t="shared" si="15"/>
        <v xml:space="preserve"> 000000000000</v>
      </c>
      <c r="R95" s="20" t="str">
        <f t="shared" si="16"/>
        <v xml:space="preserve"> </v>
      </c>
      <c r="S95" s="10"/>
      <c r="T95" s="36" t="str">
        <f>IF($A95="S",(_xlfn.CONCAT(
REGISTRO_DETALHE!$I$4:$I$6,
'C.C.ITAU'!$B95,
REGISTRO_DETALHE!$I$8:$I$10,
'C.C.ITAU'!$O95:$R95,
'C.C.ITAU'!$L95,
REGISTRO_DETALHE!$I$14:$I$19,
'C.C.ITAU'!$N95,
REGISTRO_DETALHE!$I$21:$I$23,
'C.C.ITAU'!$N95,
REGISTRO_DETALHE!$I$25:$I$26,
'C.C.ITAU'!$M95,
REGISTRO_DETALHE!$I$28:$I$32))," ")</f>
        <v xml:space="preserve"> </v>
      </c>
      <c r="U95" s="10"/>
    </row>
    <row r="96" spans="1:21" s="16" customFormat="1" ht="21.95" customHeight="1" x14ac:dyDescent="0.25">
      <c r="A96" s="33" t="str">
        <f t="shared" si="17"/>
        <v>N</v>
      </c>
      <c r="B96" s="17" t="str">
        <f t="shared" si="12"/>
        <v/>
      </c>
      <c r="C96" s="53"/>
      <c r="D96" s="54"/>
      <c r="E96" s="55"/>
      <c r="F96" s="56"/>
      <c r="G96" s="57"/>
      <c r="H96" s="57"/>
      <c r="I96" s="59"/>
      <c r="J96" s="60"/>
      <c r="K96" s="10"/>
      <c r="L96" s="25" t="str">
        <f t="shared" si="20"/>
        <v xml:space="preserve">                              </v>
      </c>
      <c r="M96" s="27" t="str">
        <f t="shared" si="18"/>
        <v/>
      </c>
      <c r="N96" s="27" t="str">
        <f t="shared" si="19"/>
        <v>000000000000000</v>
      </c>
      <c r="O96" s="20" t="str">
        <f t="shared" si="13"/>
        <v>000</v>
      </c>
      <c r="P96" s="20" t="str">
        <f t="shared" si="14"/>
        <v>00000</v>
      </c>
      <c r="Q96" s="26" t="str">
        <f t="shared" si="15"/>
        <v xml:space="preserve"> 000000000000</v>
      </c>
      <c r="R96" s="20" t="str">
        <f t="shared" si="16"/>
        <v xml:space="preserve"> </v>
      </c>
      <c r="S96" s="10"/>
      <c r="T96" s="36" t="str">
        <f>IF($A96="S",(_xlfn.CONCAT(
REGISTRO_DETALHE!$I$4:$I$6,
'C.C.ITAU'!$B96,
REGISTRO_DETALHE!$I$8:$I$10,
'C.C.ITAU'!$O96:$R96,
'C.C.ITAU'!$L96,
REGISTRO_DETALHE!$I$14:$I$19,
'C.C.ITAU'!$N96,
REGISTRO_DETALHE!$I$21:$I$23,
'C.C.ITAU'!$N96,
REGISTRO_DETALHE!$I$25:$I$26,
'C.C.ITAU'!$M96,
REGISTRO_DETALHE!$I$28:$I$32))," ")</f>
        <v xml:space="preserve"> </v>
      </c>
      <c r="U96" s="10"/>
    </row>
    <row r="97" spans="1:22" s="16" customFormat="1" ht="21.95" customHeight="1" x14ac:dyDescent="0.25">
      <c r="A97" s="33" t="str">
        <f t="shared" si="17"/>
        <v>N</v>
      </c>
      <c r="B97" s="17" t="str">
        <f t="shared" si="12"/>
        <v/>
      </c>
      <c r="C97" s="53"/>
      <c r="D97" s="54"/>
      <c r="E97" s="55"/>
      <c r="F97" s="56"/>
      <c r="G97" s="57"/>
      <c r="H97" s="57"/>
      <c r="I97" s="59"/>
      <c r="J97" s="60"/>
      <c r="K97" s="10"/>
      <c r="L97" s="25" t="str">
        <f t="shared" si="20"/>
        <v xml:space="preserve">                              </v>
      </c>
      <c r="M97" s="27" t="str">
        <f t="shared" si="18"/>
        <v/>
      </c>
      <c r="N97" s="27" t="str">
        <f t="shared" si="19"/>
        <v>000000000000000</v>
      </c>
      <c r="O97" s="20" t="str">
        <f t="shared" si="13"/>
        <v>000</v>
      </c>
      <c r="P97" s="20" t="str">
        <f t="shared" si="14"/>
        <v>00000</v>
      </c>
      <c r="Q97" s="26" t="str">
        <f t="shared" si="15"/>
        <v xml:space="preserve"> 000000000000</v>
      </c>
      <c r="R97" s="20" t="str">
        <f t="shared" si="16"/>
        <v xml:space="preserve"> </v>
      </c>
      <c r="S97" s="10"/>
      <c r="T97" s="36" t="str">
        <f>IF($A97="S",(_xlfn.CONCAT(
REGISTRO_DETALHE!$I$4:$I$6,
'C.C.ITAU'!$B97,
REGISTRO_DETALHE!$I$8:$I$10,
'C.C.ITAU'!$O97:$R97,
'C.C.ITAU'!$L97,
REGISTRO_DETALHE!$I$14:$I$19,
'C.C.ITAU'!$N97,
REGISTRO_DETALHE!$I$21:$I$23,
'C.C.ITAU'!$N97,
REGISTRO_DETALHE!$I$25:$I$26,
'C.C.ITAU'!$M97,
REGISTRO_DETALHE!$I$28:$I$32))," ")</f>
        <v xml:space="preserve"> </v>
      </c>
      <c r="U97" s="10"/>
    </row>
    <row r="98" spans="1:22" s="16" customFormat="1" ht="21.95" customHeight="1" x14ac:dyDescent="0.25">
      <c r="A98" s="33" t="str">
        <f t="shared" si="17"/>
        <v>N</v>
      </c>
      <c r="B98" s="17" t="str">
        <f t="shared" si="12"/>
        <v/>
      </c>
      <c r="C98" s="53"/>
      <c r="D98" s="54"/>
      <c r="E98" s="55"/>
      <c r="F98" s="56"/>
      <c r="G98" s="57"/>
      <c r="H98" s="57"/>
      <c r="I98" s="59"/>
      <c r="J98" s="60"/>
      <c r="K98" s="10"/>
      <c r="L98" s="25" t="str">
        <f t="shared" si="20"/>
        <v xml:space="preserve">                              </v>
      </c>
      <c r="M98" s="27" t="str">
        <f t="shared" si="18"/>
        <v/>
      </c>
      <c r="N98" s="27" t="str">
        <f t="shared" si="19"/>
        <v>000000000000000</v>
      </c>
      <c r="O98" s="20" t="str">
        <f t="shared" si="13"/>
        <v>000</v>
      </c>
      <c r="P98" s="20" t="str">
        <f t="shared" si="14"/>
        <v>00000</v>
      </c>
      <c r="Q98" s="26" t="str">
        <f t="shared" si="15"/>
        <v xml:space="preserve"> 000000000000</v>
      </c>
      <c r="R98" s="20" t="str">
        <f t="shared" si="16"/>
        <v xml:space="preserve"> </v>
      </c>
      <c r="S98" s="10"/>
      <c r="T98" s="36" t="str">
        <f>IF($A98="S",(_xlfn.CONCAT(
REGISTRO_DETALHE!$I$4:$I$6,
'C.C.ITAU'!$B98,
REGISTRO_DETALHE!$I$8:$I$10,
'C.C.ITAU'!$O98:$R98,
'C.C.ITAU'!$L98,
REGISTRO_DETALHE!$I$14:$I$19,
'C.C.ITAU'!$N98,
REGISTRO_DETALHE!$I$21:$I$23,
'C.C.ITAU'!$N98,
REGISTRO_DETALHE!$I$25:$I$26,
'C.C.ITAU'!$M98,
REGISTRO_DETALHE!$I$28:$I$32))," ")</f>
        <v xml:space="preserve"> </v>
      </c>
      <c r="U98" s="10"/>
    </row>
    <row r="99" spans="1:22" s="16" customFormat="1" ht="21.95" customHeight="1" x14ac:dyDescent="0.25">
      <c r="A99" s="33" t="str">
        <f t="shared" si="17"/>
        <v>N</v>
      </c>
      <c r="B99" s="17" t="str">
        <f t="shared" si="12"/>
        <v/>
      </c>
      <c r="C99" s="53"/>
      <c r="D99" s="54"/>
      <c r="E99" s="55"/>
      <c r="F99" s="56"/>
      <c r="G99" s="57"/>
      <c r="H99" s="57"/>
      <c r="I99" s="59"/>
      <c r="J99" s="60"/>
      <c r="K99" s="10"/>
      <c r="L99" s="25" t="str">
        <f t="shared" si="20"/>
        <v xml:space="preserve">                              </v>
      </c>
      <c r="M99" s="27" t="str">
        <f t="shared" si="18"/>
        <v/>
      </c>
      <c r="N99" s="27" t="str">
        <f t="shared" si="19"/>
        <v>000000000000000</v>
      </c>
      <c r="O99" s="20" t="str">
        <f t="shared" si="13"/>
        <v>000</v>
      </c>
      <c r="P99" s="20" t="str">
        <f t="shared" si="14"/>
        <v>00000</v>
      </c>
      <c r="Q99" s="26" t="str">
        <f t="shared" si="15"/>
        <v xml:space="preserve"> 000000000000</v>
      </c>
      <c r="R99" s="20" t="str">
        <f t="shared" si="16"/>
        <v xml:space="preserve"> </v>
      </c>
      <c r="S99" s="10"/>
      <c r="T99" s="36" t="str">
        <f>IF($A99="S",(_xlfn.CONCAT(
REGISTRO_DETALHE!$I$4:$I$6,
'C.C.ITAU'!$B99,
REGISTRO_DETALHE!$I$8:$I$10,
'C.C.ITAU'!$O99:$R99,
'C.C.ITAU'!$L99,
REGISTRO_DETALHE!$I$14:$I$19,
'C.C.ITAU'!$N99,
REGISTRO_DETALHE!$I$21:$I$23,
'C.C.ITAU'!$N99,
REGISTRO_DETALHE!$I$25:$I$26,
'C.C.ITAU'!$M99,
REGISTRO_DETALHE!$I$28:$I$32))," ")</f>
        <v xml:space="preserve"> </v>
      </c>
      <c r="U99" s="10"/>
    </row>
    <row r="100" spans="1:22" s="16" customFormat="1" ht="21.95" customHeight="1" x14ac:dyDescent="0.25">
      <c r="A100" s="33" t="str">
        <f t="shared" si="17"/>
        <v>N</v>
      </c>
      <c r="B100" s="17" t="str">
        <f t="shared" si="12"/>
        <v/>
      </c>
      <c r="C100" s="53"/>
      <c r="D100" s="54"/>
      <c r="E100" s="55"/>
      <c r="F100" s="56"/>
      <c r="G100" s="57"/>
      <c r="H100" s="57"/>
      <c r="I100" s="59"/>
      <c r="J100" s="60"/>
      <c r="K100" s="10"/>
      <c r="L100" s="25" t="str">
        <f t="shared" si="20"/>
        <v xml:space="preserve">                              </v>
      </c>
      <c r="M100" s="27" t="str">
        <f t="shared" si="18"/>
        <v/>
      </c>
      <c r="N100" s="27" t="str">
        <f t="shared" si="19"/>
        <v>000000000000000</v>
      </c>
      <c r="O100" s="20" t="str">
        <f t="shared" si="13"/>
        <v>000</v>
      </c>
      <c r="P100" s="20" t="str">
        <f t="shared" si="14"/>
        <v>00000</v>
      </c>
      <c r="Q100" s="26" t="str">
        <f t="shared" si="15"/>
        <v xml:space="preserve"> 000000000000</v>
      </c>
      <c r="R100" s="20" t="str">
        <f t="shared" si="16"/>
        <v xml:space="preserve"> </v>
      </c>
      <c r="S100" s="10"/>
      <c r="T100" s="36" t="str">
        <f>IF($A100="S",(_xlfn.CONCAT(
REGISTRO_DETALHE!$I$4:$I$6,
'C.C.ITAU'!$B100,
REGISTRO_DETALHE!$I$8:$I$10,
'C.C.ITAU'!$O100:$R100,
'C.C.ITAU'!$L100,
REGISTRO_DETALHE!$I$14:$I$19,
'C.C.ITAU'!$N100,
REGISTRO_DETALHE!$I$21:$I$23,
'C.C.ITAU'!$N100,
REGISTRO_DETALHE!$I$25:$I$26,
'C.C.ITAU'!$M100,
REGISTRO_DETALHE!$I$28:$I$32))," ")</f>
        <v xml:space="preserve"> </v>
      </c>
      <c r="U100" s="10"/>
    </row>
    <row r="101" spans="1:22" s="16" customFormat="1" ht="21.95" customHeight="1" x14ac:dyDescent="0.25">
      <c r="A101" s="33" t="str">
        <f t="shared" si="17"/>
        <v>N</v>
      </c>
      <c r="B101" s="17" t="str">
        <f t="shared" si="12"/>
        <v/>
      </c>
      <c r="C101" s="53"/>
      <c r="D101" s="54"/>
      <c r="E101" s="55"/>
      <c r="F101" s="56"/>
      <c r="G101" s="57"/>
      <c r="H101" s="57"/>
      <c r="I101" s="59"/>
      <c r="J101" s="60"/>
      <c r="K101" s="10"/>
      <c r="L101" s="25" t="str">
        <f t="shared" si="20"/>
        <v xml:space="preserve">                              </v>
      </c>
      <c r="M101" s="27" t="str">
        <f t="shared" si="18"/>
        <v/>
      </c>
      <c r="N101" s="27" t="str">
        <f t="shared" si="19"/>
        <v>000000000000000</v>
      </c>
      <c r="O101" s="20" t="str">
        <f t="shared" si="13"/>
        <v>000</v>
      </c>
      <c r="P101" s="20" t="str">
        <f t="shared" si="14"/>
        <v>00000</v>
      </c>
      <c r="Q101" s="26" t="str">
        <f t="shared" si="15"/>
        <v xml:space="preserve"> 000000000000</v>
      </c>
      <c r="R101" s="20" t="str">
        <f t="shared" si="16"/>
        <v xml:space="preserve"> </v>
      </c>
      <c r="S101" s="10"/>
      <c r="T101" s="36" t="str">
        <f>IF($A101="S",(_xlfn.CONCAT(
REGISTRO_DETALHE!$I$4:$I$6,
'C.C.ITAU'!$B101,
REGISTRO_DETALHE!$I$8:$I$10,
'C.C.ITAU'!$O101:$R101,
'C.C.ITAU'!$L101,
REGISTRO_DETALHE!$I$14:$I$19,
'C.C.ITAU'!$N101,
REGISTRO_DETALHE!$I$21:$I$23,
'C.C.ITAU'!$N101,
REGISTRO_DETALHE!$I$25:$I$26,
'C.C.ITAU'!$M101,
REGISTRO_DETALHE!$I$28:$I$32))," ")</f>
        <v xml:space="preserve"> </v>
      </c>
      <c r="U101" s="10"/>
    </row>
    <row r="102" spans="1:22" s="16" customFormat="1" ht="21.95" customHeight="1" x14ac:dyDescent="0.25">
      <c r="A102" s="33" t="str">
        <f t="shared" si="17"/>
        <v>N</v>
      </c>
      <c r="B102" s="17" t="str">
        <f t="shared" si="12"/>
        <v/>
      </c>
      <c r="C102" s="53"/>
      <c r="D102" s="54"/>
      <c r="E102" s="55"/>
      <c r="F102" s="56"/>
      <c r="G102" s="57"/>
      <c r="H102" s="57"/>
      <c r="I102" s="59"/>
      <c r="J102" s="60"/>
      <c r="K102" s="10"/>
      <c r="L102" s="25" t="str">
        <f t="shared" si="20"/>
        <v xml:space="preserve">                              </v>
      </c>
      <c r="M102" s="27" t="str">
        <f t="shared" si="18"/>
        <v/>
      </c>
      <c r="N102" s="27" t="str">
        <f t="shared" si="19"/>
        <v>000000000000000</v>
      </c>
      <c r="O102" s="20" t="str">
        <f t="shared" si="13"/>
        <v>000</v>
      </c>
      <c r="P102" s="20" t="str">
        <f t="shared" si="14"/>
        <v>00000</v>
      </c>
      <c r="Q102" s="26" t="str">
        <f t="shared" si="15"/>
        <v xml:space="preserve"> 000000000000</v>
      </c>
      <c r="R102" s="20" t="str">
        <f t="shared" si="16"/>
        <v xml:space="preserve"> </v>
      </c>
      <c r="S102" s="10"/>
      <c r="T102" s="36" t="str">
        <f>IF($A102="S",(_xlfn.CONCAT(
REGISTRO_DETALHE!$I$4:$I$6,
'C.C.ITAU'!$B102,
REGISTRO_DETALHE!$I$8:$I$10,
'C.C.ITAU'!$O102:$R102,
'C.C.ITAU'!$L102,
REGISTRO_DETALHE!$I$14:$I$19,
'C.C.ITAU'!$N102,
REGISTRO_DETALHE!$I$21:$I$23,
'C.C.ITAU'!$N102,
REGISTRO_DETALHE!$I$25:$I$26,
'C.C.ITAU'!$M102,
REGISTRO_DETALHE!$I$28:$I$32))," ")</f>
        <v xml:space="preserve"> </v>
      </c>
      <c r="U102" s="10"/>
    </row>
    <row r="103" spans="1:22" s="16" customFormat="1" ht="21.95" customHeight="1" x14ac:dyDescent="0.25">
      <c r="A103" s="33" t="str">
        <f t="shared" si="17"/>
        <v>N</v>
      </c>
      <c r="B103" s="17" t="str">
        <f t="shared" si="12"/>
        <v/>
      </c>
      <c r="C103" s="53"/>
      <c r="D103" s="54"/>
      <c r="E103" s="55"/>
      <c r="F103" s="56"/>
      <c r="G103" s="57"/>
      <c r="H103" s="57"/>
      <c r="I103" s="59"/>
      <c r="J103" s="60"/>
      <c r="K103" s="10"/>
      <c r="L103" s="25" t="str">
        <f t="shared" si="20"/>
        <v xml:space="preserve">                              </v>
      </c>
      <c r="M103" s="27" t="str">
        <f t="shared" si="18"/>
        <v/>
      </c>
      <c r="N103" s="27" t="str">
        <f t="shared" si="19"/>
        <v>000000000000000</v>
      </c>
      <c r="O103" s="20" t="str">
        <f t="shared" si="13"/>
        <v>000</v>
      </c>
      <c r="P103" s="20" t="str">
        <f t="shared" si="14"/>
        <v>00000</v>
      </c>
      <c r="Q103" s="26" t="str">
        <f t="shared" si="15"/>
        <v xml:space="preserve"> 000000000000</v>
      </c>
      <c r="R103" s="20" t="str">
        <f t="shared" si="16"/>
        <v xml:space="preserve"> </v>
      </c>
      <c r="S103" s="10"/>
      <c r="T103" s="36" t="str">
        <f>IF($A103="S",(_xlfn.CONCAT(
REGISTRO_DETALHE!$I$4:$I$6,
'C.C.ITAU'!$B103,
REGISTRO_DETALHE!$I$8:$I$10,
'C.C.ITAU'!$O103:$R103,
'C.C.ITAU'!$L103,
REGISTRO_DETALHE!$I$14:$I$19,
'C.C.ITAU'!$N103,
REGISTRO_DETALHE!$I$21:$I$23,
'C.C.ITAU'!$N103,
REGISTRO_DETALHE!$I$25:$I$26,
'C.C.ITAU'!$M103,
REGISTRO_DETALHE!$I$28:$I$32))," ")</f>
        <v xml:space="preserve"> </v>
      </c>
      <c r="U103" s="10"/>
    </row>
    <row r="104" spans="1:22" s="16" customFormat="1" ht="21.95" customHeight="1" x14ac:dyDescent="0.25">
      <c r="A104" s="33" t="str">
        <f t="shared" si="17"/>
        <v>N</v>
      </c>
      <c r="B104" s="17" t="str">
        <f t="shared" si="12"/>
        <v/>
      </c>
      <c r="C104" s="53"/>
      <c r="D104" s="54"/>
      <c r="E104" s="55"/>
      <c r="F104" s="56"/>
      <c r="G104" s="57"/>
      <c r="H104" s="57"/>
      <c r="I104" s="59"/>
      <c r="J104" s="60"/>
      <c r="K104" s="10"/>
      <c r="L104" s="25" t="str">
        <f t="shared" si="20"/>
        <v xml:space="preserve">                              </v>
      </c>
      <c r="M104" s="27" t="str">
        <f t="shared" si="18"/>
        <v/>
      </c>
      <c r="N104" s="27" t="str">
        <f t="shared" si="19"/>
        <v>000000000000000</v>
      </c>
      <c r="O104" s="20" t="str">
        <f t="shared" si="13"/>
        <v>000</v>
      </c>
      <c r="P104" s="20" t="str">
        <f t="shared" si="14"/>
        <v>00000</v>
      </c>
      <c r="Q104" s="26" t="str">
        <f t="shared" si="15"/>
        <v xml:space="preserve"> 000000000000</v>
      </c>
      <c r="R104" s="20" t="str">
        <f t="shared" si="16"/>
        <v xml:space="preserve"> </v>
      </c>
      <c r="S104" s="10"/>
      <c r="T104" s="36" t="str">
        <f>IF($A104="S",(_xlfn.CONCAT(
REGISTRO_DETALHE!$I$4:$I$6,
'C.C.ITAU'!$B104,
REGISTRO_DETALHE!$I$8:$I$10,
'C.C.ITAU'!$O104:$R104,
'C.C.ITAU'!$L104,
REGISTRO_DETALHE!$I$14:$I$19,
'C.C.ITAU'!$N104,
REGISTRO_DETALHE!$I$21:$I$23,
'C.C.ITAU'!$N104,
REGISTRO_DETALHE!$I$25:$I$26,
'C.C.ITAU'!$M104,
REGISTRO_DETALHE!$I$28:$I$32))," ")</f>
        <v xml:space="preserve"> </v>
      </c>
      <c r="U104" s="10"/>
    </row>
    <row r="105" spans="1:22" s="16" customFormat="1" ht="21.95" customHeight="1" x14ac:dyDescent="0.25">
      <c r="A105" s="33" t="str">
        <f t="shared" si="17"/>
        <v>N</v>
      </c>
      <c r="B105" s="17" t="str">
        <f t="shared" si="12"/>
        <v/>
      </c>
      <c r="C105" s="53"/>
      <c r="D105" s="54"/>
      <c r="E105" s="55"/>
      <c r="F105" s="56"/>
      <c r="G105" s="57"/>
      <c r="H105" s="57"/>
      <c r="I105" s="59"/>
      <c r="J105" s="60"/>
      <c r="K105" s="10"/>
      <c r="L105" s="25" t="str">
        <f t="shared" si="20"/>
        <v xml:space="preserve">                              </v>
      </c>
      <c r="M105" s="27" t="str">
        <f t="shared" si="18"/>
        <v/>
      </c>
      <c r="N105" s="27" t="str">
        <f t="shared" si="19"/>
        <v>000000000000000</v>
      </c>
      <c r="O105" s="20" t="str">
        <f t="shared" si="13"/>
        <v>000</v>
      </c>
      <c r="P105" s="20" t="str">
        <f t="shared" si="14"/>
        <v>00000</v>
      </c>
      <c r="Q105" s="26" t="str">
        <f t="shared" si="15"/>
        <v xml:space="preserve"> 000000000000</v>
      </c>
      <c r="R105" s="20" t="str">
        <f t="shared" si="16"/>
        <v xml:space="preserve"> </v>
      </c>
      <c r="S105" s="10"/>
      <c r="T105" s="36" t="str">
        <f>IF($A105="S",(_xlfn.CONCAT(
REGISTRO_DETALHE!$I$4:$I$6,
'C.C.ITAU'!$B105,
REGISTRO_DETALHE!$I$8:$I$10,
'C.C.ITAU'!$O105:$R105,
'C.C.ITAU'!$L105,
REGISTRO_DETALHE!$I$14:$I$19,
'C.C.ITAU'!$N105,
REGISTRO_DETALHE!$I$21:$I$23,
'C.C.ITAU'!$N105,
REGISTRO_DETALHE!$I$25:$I$26,
'C.C.ITAU'!$M105,
REGISTRO_DETALHE!$I$28:$I$32))," ")</f>
        <v xml:space="preserve"> </v>
      </c>
      <c r="U105" s="10"/>
    </row>
    <row r="106" spans="1:22" s="16" customFormat="1" ht="21.95" customHeight="1" x14ac:dyDescent="0.25">
      <c r="A106" s="33" t="str">
        <f t="shared" si="17"/>
        <v>N</v>
      </c>
      <c r="B106" s="17" t="str">
        <f t="shared" si="12"/>
        <v/>
      </c>
      <c r="C106" s="53"/>
      <c r="D106" s="54"/>
      <c r="E106" s="55"/>
      <c r="F106" s="56"/>
      <c r="G106" s="57"/>
      <c r="H106" s="57"/>
      <c r="I106" s="59"/>
      <c r="J106" s="60"/>
      <c r="K106" s="10"/>
      <c r="L106" s="25" t="str">
        <f t="shared" si="20"/>
        <v xml:space="preserve">                              </v>
      </c>
      <c r="M106" s="27" t="str">
        <f t="shared" si="18"/>
        <v/>
      </c>
      <c r="N106" s="27" t="str">
        <f t="shared" si="19"/>
        <v>000000000000000</v>
      </c>
      <c r="O106" s="20" t="str">
        <f t="shared" si="13"/>
        <v>000</v>
      </c>
      <c r="P106" s="20" t="str">
        <f t="shared" si="14"/>
        <v>00000</v>
      </c>
      <c r="Q106" s="26" t="str">
        <f t="shared" si="15"/>
        <v xml:space="preserve"> 000000000000</v>
      </c>
      <c r="R106" s="20" t="str">
        <f t="shared" si="16"/>
        <v xml:space="preserve"> </v>
      </c>
      <c r="S106" s="10"/>
      <c r="T106" s="36" t="str">
        <f>IF($A106="S",(_xlfn.CONCAT(
REGISTRO_DETALHE!$I$4:$I$6,
'C.C.ITAU'!$B106,
REGISTRO_DETALHE!$I$8:$I$10,
'C.C.ITAU'!$O106:$R106,
'C.C.ITAU'!$L106,
REGISTRO_DETALHE!$I$14:$I$19,
'C.C.ITAU'!$N106,
REGISTRO_DETALHE!$I$21:$I$23,
'C.C.ITAU'!$N106,
REGISTRO_DETALHE!$I$25:$I$26,
'C.C.ITAU'!$M106,
REGISTRO_DETALHE!$I$28:$I$32))," ")</f>
        <v xml:space="preserve"> </v>
      </c>
      <c r="U106" s="10"/>
    </row>
    <row r="107" spans="1:22" x14ac:dyDescent="0.25">
      <c r="A107" s="10"/>
      <c r="B107" s="10"/>
      <c r="C107" s="10"/>
      <c r="D107" s="10"/>
      <c r="E107" s="10"/>
      <c r="F107" s="10"/>
      <c r="G107" s="10"/>
      <c r="H107" s="10"/>
      <c r="I107" s="30"/>
      <c r="J107" s="10"/>
      <c r="K107" s="10"/>
      <c r="L107" s="10"/>
      <c r="M107" s="10"/>
      <c r="N107" s="10"/>
      <c r="O107" s="10"/>
      <c r="P107" s="10"/>
      <c r="Q107" s="10"/>
      <c r="R107" s="10"/>
      <c r="S107" s="10"/>
      <c r="T107" s="10"/>
      <c r="U107" s="10"/>
    </row>
    <row r="108" spans="1:22" x14ac:dyDescent="0.25">
      <c r="A108" s="10"/>
      <c r="B108" s="10"/>
      <c r="C108" s="10"/>
      <c r="D108" s="10"/>
      <c r="E108" s="10"/>
      <c r="F108" s="10"/>
      <c r="G108" s="10"/>
      <c r="H108" s="10"/>
      <c r="I108" s="30"/>
      <c r="J108" s="10"/>
      <c r="K108" s="10"/>
      <c r="L108" s="10"/>
      <c r="M108" s="10"/>
      <c r="N108" s="10"/>
      <c r="O108" s="10"/>
      <c r="P108" s="10"/>
      <c r="Q108" s="10"/>
      <c r="R108" s="10"/>
      <c r="S108" s="10"/>
      <c r="T108" s="10"/>
      <c r="U108" s="10"/>
    </row>
    <row r="109" spans="1:22" s="1" customFormat="1" ht="32.25" customHeight="1" x14ac:dyDescent="0.25">
      <c r="A109" s="10"/>
      <c r="B109" s="10"/>
      <c r="C109" s="10"/>
      <c r="D109" s="10"/>
      <c r="E109" s="10"/>
      <c r="F109" s="10"/>
      <c r="G109" s="10"/>
      <c r="H109" s="10"/>
      <c r="I109" s="30"/>
      <c r="J109" s="10"/>
      <c r="K109" s="10"/>
      <c r="L109" s="10"/>
      <c r="M109" s="10"/>
      <c r="N109" s="10"/>
      <c r="O109" s="10"/>
      <c r="P109" s="10"/>
      <c r="Q109" s="10"/>
      <c r="R109" s="10"/>
      <c r="S109" s="10"/>
      <c r="T109" s="10"/>
      <c r="U109" s="10"/>
      <c r="V109" s="24"/>
    </row>
  </sheetData>
  <sheetProtection selectLockedCells="1" autoFilter="0"/>
  <autoFilter ref="C6:I106" xr:uid="{9E2F35CD-89CF-41E1-B189-C10128D94562}">
    <sortState xmlns:xlrd2="http://schemas.microsoft.com/office/spreadsheetml/2017/richdata2" ref="C7:I106">
      <sortCondition ref="C6:C106"/>
    </sortState>
  </autoFilter>
  <mergeCells count="1">
    <mergeCell ref="A1:K1"/>
  </mergeCells>
  <pageMargins left="0.511811024" right="0.511811024" top="0.78740157499999996" bottom="0.78740157499999996" header="0.31496062000000002" footer="0.31496062000000002"/>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112CDA-D470-4830-8584-047ABD954213}">
  <sheetPr codeName="Planilha4">
    <tabColor theme="9" tint="0.59999389629810485"/>
  </sheetPr>
  <dimension ref="A2:J46"/>
  <sheetViews>
    <sheetView showGridLines="0" showRowColHeaders="0" zoomScale="90" zoomScaleNormal="90" workbookViewId="0">
      <selection activeCell="B2" sqref="B2:G2"/>
    </sheetView>
  </sheetViews>
  <sheetFormatPr defaultColWidth="0" defaultRowHeight="15" x14ac:dyDescent="0.25"/>
  <cols>
    <col min="1" max="1" width="4.7109375" customWidth="1"/>
    <col min="2" max="2" width="30.7109375" style="7" customWidth="1"/>
    <col min="3" max="3" width="40.7109375" style="7" customWidth="1"/>
    <col min="4" max="5" width="8.7109375" style="5" customWidth="1"/>
    <col min="6" max="6" width="16.7109375" style="5" customWidth="1"/>
    <col min="7" max="7" width="30.7109375" style="4" customWidth="1"/>
    <col min="8" max="8" width="4.7109375" customWidth="1"/>
    <col min="9" max="9" width="53.5703125" style="4" customWidth="1"/>
    <col min="10" max="10" width="4.7109375" customWidth="1"/>
    <col min="11" max="16384" width="9.140625" hidden="1"/>
  </cols>
  <sheetData>
    <row r="2" spans="2:9" s="1" customFormat="1" ht="21.95" customHeight="1" x14ac:dyDescent="0.25">
      <c r="B2" s="96" t="s">
        <v>5</v>
      </c>
      <c r="C2" s="96"/>
      <c r="D2" s="96"/>
      <c r="E2" s="96"/>
      <c r="F2" s="96"/>
      <c r="G2" s="96"/>
      <c r="I2" s="93" t="s">
        <v>59</v>
      </c>
    </row>
    <row r="3" spans="2:9" s="1" customFormat="1" ht="21.95" customHeight="1" x14ac:dyDescent="0.25">
      <c r="B3" s="9" t="s">
        <v>30</v>
      </c>
      <c r="C3" s="9" t="s">
        <v>31</v>
      </c>
      <c r="D3" s="92" t="s">
        <v>32</v>
      </c>
      <c r="E3" s="92"/>
      <c r="F3" s="6" t="s">
        <v>33</v>
      </c>
      <c r="G3" s="9" t="s">
        <v>50</v>
      </c>
      <c r="I3" s="93"/>
    </row>
    <row r="4" spans="2:9" ht="20.100000000000001" customHeight="1" x14ac:dyDescent="0.25">
      <c r="B4" s="44" t="s">
        <v>1</v>
      </c>
      <c r="C4" s="44" t="s">
        <v>2</v>
      </c>
      <c r="D4" s="41">
        <v>1</v>
      </c>
      <c r="E4" s="41">
        <v>3</v>
      </c>
      <c r="F4" s="42" t="s">
        <v>3</v>
      </c>
      <c r="G4" s="43">
        <v>341</v>
      </c>
      <c r="H4" s="41">
        <f>(E4-D4)+1</f>
        <v>3</v>
      </c>
      <c r="I4" s="44">
        <v>341</v>
      </c>
    </row>
    <row r="5" spans="2:9" ht="20.100000000000001" customHeight="1" x14ac:dyDescent="0.25">
      <c r="B5" s="44" t="s">
        <v>34</v>
      </c>
      <c r="C5" s="44" t="s">
        <v>35</v>
      </c>
      <c r="D5" s="41">
        <v>4</v>
      </c>
      <c r="E5" s="41">
        <v>7</v>
      </c>
      <c r="F5" s="42" t="s">
        <v>36</v>
      </c>
      <c r="G5" s="49" t="s">
        <v>51</v>
      </c>
      <c r="H5" s="41">
        <f>(E5-D5)+1</f>
        <v>4</v>
      </c>
      <c r="I5" s="45" t="s">
        <v>51</v>
      </c>
    </row>
    <row r="6" spans="2:9" ht="20.100000000000001" customHeight="1" x14ac:dyDescent="0.25">
      <c r="B6" s="44" t="s">
        <v>4</v>
      </c>
      <c r="C6" s="44" t="s">
        <v>5</v>
      </c>
      <c r="D6" s="41">
        <v>8</v>
      </c>
      <c r="E6" s="41">
        <v>8</v>
      </c>
      <c r="F6" s="42" t="s">
        <v>6</v>
      </c>
      <c r="G6" s="43">
        <v>0</v>
      </c>
      <c r="H6" s="41">
        <f t="shared" ref="H6:H25" si="0">(E6-D6)+1</f>
        <v>1</v>
      </c>
      <c r="I6" s="44">
        <v>0</v>
      </c>
    </row>
    <row r="7" spans="2:9" ht="20.100000000000001" customHeight="1" x14ac:dyDescent="0.25">
      <c r="B7" s="44" t="s">
        <v>37</v>
      </c>
      <c r="C7" s="44" t="s">
        <v>38</v>
      </c>
      <c r="D7" s="41">
        <v>9</v>
      </c>
      <c r="E7" s="41">
        <v>14</v>
      </c>
      <c r="F7" s="42" t="s">
        <v>52</v>
      </c>
      <c r="G7" s="43"/>
      <c r="H7" s="41">
        <f t="shared" si="0"/>
        <v>6</v>
      </c>
      <c r="I7" s="44" t="s">
        <v>60</v>
      </c>
    </row>
    <row r="8" spans="2:9" ht="20.100000000000001" customHeight="1" x14ac:dyDescent="0.25">
      <c r="B8" s="44" t="s">
        <v>7</v>
      </c>
      <c r="C8" s="44" t="s">
        <v>53</v>
      </c>
      <c r="D8" s="41">
        <v>15</v>
      </c>
      <c r="E8" s="41">
        <v>17</v>
      </c>
      <c r="F8" s="42" t="s">
        <v>3</v>
      </c>
      <c r="G8" s="49" t="s">
        <v>54</v>
      </c>
      <c r="H8" s="41">
        <f t="shared" si="0"/>
        <v>3</v>
      </c>
      <c r="I8" s="45" t="s">
        <v>54</v>
      </c>
    </row>
    <row r="9" spans="2:9" ht="20.100000000000001" customHeight="1" x14ac:dyDescent="0.25">
      <c r="B9" s="44" t="s">
        <v>49</v>
      </c>
      <c r="C9" s="44" t="s">
        <v>39</v>
      </c>
      <c r="D9" s="41">
        <v>18</v>
      </c>
      <c r="E9" s="41">
        <v>18</v>
      </c>
      <c r="F9" s="42" t="s">
        <v>6</v>
      </c>
      <c r="G9" s="43" t="s">
        <v>55</v>
      </c>
      <c r="H9" s="41">
        <f t="shared" si="0"/>
        <v>1</v>
      </c>
      <c r="I9" s="44">
        <v>2</v>
      </c>
    </row>
    <row r="10" spans="2:9" ht="20.100000000000001" customHeight="1" x14ac:dyDescent="0.25">
      <c r="B10" s="44" t="s">
        <v>8</v>
      </c>
      <c r="C10" s="44" t="s">
        <v>9</v>
      </c>
      <c r="D10" s="41">
        <v>19</v>
      </c>
      <c r="E10" s="41">
        <v>32</v>
      </c>
      <c r="F10" s="42" t="s">
        <v>10</v>
      </c>
      <c r="G10" s="43" t="s">
        <v>11</v>
      </c>
      <c r="H10" s="41">
        <f t="shared" si="0"/>
        <v>14</v>
      </c>
      <c r="I10" s="52" t="str">
        <f>(IF((LEN(GERAR_ARQUIVO!E19))=13,(_xlfn.CONCAT("0",GERAR_ARQUIVO!E19)),GERAR_ARQUIVO!E19))</f>
        <v>09017015000137</v>
      </c>
    </row>
    <row r="11" spans="2:9" ht="20.100000000000001" customHeight="1" x14ac:dyDescent="0.25">
      <c r="B11" s="44" t="s">
        <v>37</v>
      </c>
      <c r="C11" s="44" t="s">
        <v>38</v>
      </c>
      <c r="D11" s="41">
        <v>33</v>
      </c>
      <c r="E11" s="41">
        <v>52</v>
      </c>
      <c r="F11" s="42" t="s">
        <v>56</v>
      </c>
      <c r="G11" s="43"/>
      <c r="H11" s="41">
        <f t="shared" si="0"/>
        <v>20</v>
      </c>
      <c r="I11" s="44" t="s">
        <v>61</v>
      </c>
    </row>
    <row r="12" spans="2:9" ht="20.100000000000001" customHeight="1" x14ac:dyDescent="0.25">
      <c r="B12" s="44" t="s">
        <v>12</v>
      </c>
      <c r="C12" s="44" t="s">
        <v>13</v>
      </c>
      <c r="D12" s="41">
        <v>53</v>
      </c>
      <c r="E12" s="41">
        <v>57</v>
      </c>
      <c r="F12" s="42" t="s">
        <v>14</v>
      </c>
      <c r="G12" s="43" t="s">
        <v>11</v>
      </c>
      <c r="H12" s="41">
        <f t="shared" si="0"/>
        <v>5</v>
      </c>
      <c r="I12" s="52" t="str">
        <f>TEXT(GERAR_ARQUIVO!H12,"00000")</f>
        <v>01234</v>
      </c>
    </row>
    <row r="13" spans="2:9" ht="20.100000000000001" customHeight="1" x14ac:dyDescent="0.25">
      <c r="B13" s="44" t="s">
        <v>37</v>
      </c>
      <c r="C13" s="44" t="s">
        <v>38</v>
      </c>
      <c r="D13" s="41">
        <v>58</v>
      </c>
      <c r="E13" s="41">
        <v>58</v>
      </c>
      <c r="F13" s="42" t="s">
        <v>40</v>
      </c>
      <c r="G13" s="43"/>
      <c r="H13" s="41">
        <f t="shared" si="0"/>
        <v>1</v>
      </c>
      <c r="I13" s="44" t="s">
        <v>62</v>
      </c>
    </row>
    <row r="14" spans="2:9" ht="20.100000000000001" customHeight="1" x14ac:dyDescent="0.25">
      <c r="B14" s="44" t="s">
        <v>15</v>
      </c>
      <c r="C14" s="44" t="s">
        <v>57</v>
      </c>
      <c r="D14" s="41">
        <v>59</v>
      </c>
      <c r="E14" s="41">
        <v>70</v>
      </c>
      <c r="F14" s="42" t="s">
        <v>16</v>
      </c>
      <c r="G14" s="43" t="s">
        <v>11</v>
      </c>
      <c r="H14" s="41">
        <f t="shared" si="0"/>
        <v>12</v>
      </c>
      <c r="I14" s="52" t="str">
        <f>TEXT(GERAR_ARQUIVO!M12,"000000000000")</f>
        <v>000000012345</v>
      </c>
    </row>
    <row r="15" spans="2:9" ht="20.100000000000001" customHeight="1" x14ac:dyDescent="0.25">
      <c r="B15" s="44" t="s">
        <v>37</v>
      </c>
      <c r="C15" s="44" t="s">
        <v>38</v>
      </c>
      <c r="D15" s="41">
        <v>71</v>
      </c>
      <c r="E15" s="41">
        <v>71</v>
      </c>
      <c r="F15" s="42" t="s">
        <v>40</v>
      </c>
      <c r="G15" s="43"/>
      <c r="H15" s="41">
        <f t="shared" si="0"/>
        <v>1</v>
      </c>
      <c r="I15" s="44" t="s">
        <v>62</v>
      </c>
    </row>
    <row r="16" spans="2:9" ht="20.100000000000001" customHeight="1" x14ac:dyDescent="0.25">
      <c r="B16" s="44" t="s">
        <v>17</v>
      </c>
      <c r="C16" s="44" t="s">
        <v>18</v>
      </c>
      <c r="D16" s="41">
        <v>72</v>
      </c>
      <c r="E16" s="41">
        <v>72</v>
      </c>
      <c r="F16" s="42" t="s">
        <v>6</v>
      </c>
      <c r="G16" s="43" t="s">
        <v>11</v>
      </c>
      <c r="H16" s="41">
        <f t="shared" si="0"/>
        <v>1</v>
      </c>
      <c r="I16" s="52">
        <f>GERAR_ARQUIVO!P12</f>
        <v>0</v>
      </c>
    </row>
    <row r="17" spans="1:10" ht="20.100000000000001" customHeight="1" x14ac:dyDescent="0.25">
      <c r="B17" s="44" t="s">
        <v>41</v>
      </c>
      <c r="C17" s="44" t="s">
        <v>41</v>
      </c>
      <c r="D17" s="41">
        <v>73</v>
      </c>
      <c r="E17" s="41">
        <v>102</v>
      </c>
      <c r="F17" s="42" t="s">
        <v>20</v>
      </c>
      <c r="G17" s="43"/>
      <c r="H17" s="41">
        <f t="shared" si="0"/>
        <v>30</v>
      </c>
      <c r="I17" s="52" t="str">
        <f>LEFT(GERAR_ARQUIVO!E21,HEADER_ARQUIVO!H17)</f>
        <v>REDE ANCORA-RJ IMPORTADORA EXP</v>
      </c>
    </row>
    <row r="18" spans="1:10" ht="20.100000000000001" customHeight="1" x14ac:dyDescent="0.25">
      <c r="B18" s="44" t="s">
        <v>19</v>
      </c>
      <c r="C18" s="44" t="s">
        <v>19</v>
      </c>
      <c r="D18" s="41">
        <v>103</v>
      </c>
      <c r="E18" s="41">
        <v>132</v>
      </c>
      <c r="F18" s="42" t="s">
        <v>20</v>
      </c>
      <c r="G18" s="43"/>
      <c r="H18" s="41">
        <f t="shared" si="0"/>
        <v>30</v>
      </c>
      <c r="I18" s="45" t="s">
        <v>63</v>
      </c>
    </row>
    <row r="19" spans="1:10" ht="20.100000000000001" customHeight="1" x14ac:dyDescent="0.25">
      <c r="B19" s="44" t="s">
        <v>37</v>
      </c>
      <c r="C19" s="44" t="s">
        <v>38</v>
      </c>
      <c r="D19" s="41">
        <v>133</v>
      </c>
      <c r="E19" s="41">
        <v>142</v>
      </c>
      <c r="F19" s="42" t="s">
        <v>58</v>
      </c>
      <c r="G19" s="43"/>
      <c r="H19" s="41">
        <f t="shared" si="0"/>
        <v>10</v>
      </c>
      <c r="I19" s="44" t="s">
        <v>64</v>
      </c>
    </row>
    <row r="20" spans="1:10" ht="20.100000000000001" customHeight="1" x14ac:dyDescent="0.25">
      <c r="B20" s="44" t="s">
        <v>21</v>
      </c>
      <c r="C20" s="44" t="s">
        <v>22</v>
      </c>
      <c r="D20" s="41">
        <v>143</v>
      </c>
      <c r="E20" s="41">
        <v>143</v>
      </c>
      <c r="F20" s="42" t="s">
        <v>6</v>
      </c>
      <c r="G20" s="43" t="s">
        <v>257</v>
      </c>
      <c r="H20" s="41">
        <f t="shared" si="0"/>
        <v>1</v>
      </c>
      <c r="I20" s="44">
        <v>1</v>
      </c>
    </row>
    <row r="21" spans="1:10" ht="20.100000000000001" customHeight="1" x14ac:dyDescent="0.25">
      <c r="B21" s="44" t="s">
        <v>42</v>
      </c>
      <c r="C21" s="44" t="s">
        <v>43</v>
      </c>
      <c r="D21" s="41">
        <v>144</v>
      </c>
      <c r="E21" s="41">
        <v>151</v>
      </c>
      <c r="F21" s="42" t="s">
        <v>44</v>
      </c>
      <c r="G21" s="43" t="s">
        <v>45</v>
      </c>
      <c r="H21" s="41">
        <f t="shared" si="0"/>
        <v>8</v>
      </c>
      <c r="I21" s="52" t="str">
        <f ca="1">TEXT(GERAR_ARQUIVO!E41,"DDMMAAAA")</f>
        <v>26042024</v>
      </c>
    </row>
    <row r="22" spans="1:10" ht="20.100000000000001" customHeight="1" x14ac:dyDescent="0.25">
      <c r="B22" s="44" t="s">
        <v>23</v>
      </c>
      <c r="C22" s="44" t="s">
        <v>24</v>
      </c>
      <c r="D22" s="41">
        <v>152</v>
      </c>
      <c r="E22" s="41">
        <v>157</v>
      </c>
      <c r="F22" s="42" t="s">
        <v>25</v>
      </c>
      <c r="G22" s="43" t="s">
        <v>26</v>
      </c>
      <c r="H22" s="41">
        <f t="shared" si="0"/>
        <v>6</v>
      </c>
      <c r="I22" s="52" t="str">
        <f ca="1">TEXT(GERAR_ARQUIVO!L41,"HHMMSS")</f>
        <v>161917</v>
      </c>
    </row>
    <row r="23" spans="1:10" ht="20.100000000000001" customHeight="1" x14ac:dyDescent="0.25">
      <c r="B23" s="44" t="s">
        <v>46</v>
      </c>
      <c r="C23" s="44" t="s">
        <v>38</v>
      </c>
      <c r="D23" s="41">
        <v>158</v>
      </c>
      <c r="E23" s="41">
        <v>166</v>
      </c>
      <c r="F23" s="42" t="s">
        <v>47</v>
      </c>
      <c r="G23" s="43"/>
      <c r="H23" s="41">
        <f t="shared" si="0"/>
        <v>9</v>
      </c>
      <c r="I23" s="45" t="s">
        <v>65</v>
      </c>
    </row>
    <row r="24" spans="1:10" ht="20.100000000000001" customHeight="1" x14ac:dyDescent="0.25">
      <c r="B24" s="44" t="s">
        <v>27</v>
      </c>
      <c r="C24" s="44" t="s">
        <v>28</v>
      </c>
      <c r="D24" s="41">
        <v>167</v>
      </c>
      <c r="E24" s="41">
        <v>171</v>
      </c>
      <c r="F24" s="42" t="s">
        <v>14</v>
      </c>
      <c r="G24" s="43" t="s">
        <v>29</v>
      </c>
      <c r="H24" s="41">
        <f t="shared" si="0"/>
        <v>5</v>
      </c>
      <c r="I24" s="45" t="s">
        <v>67</v>
      </c>
    </row>
    <row r="25" spans="1:10" ht="20.100000000000001" customHeight="1" x14ac:dyDescent="0.25">
      <c r="B25" s="44" t="s">
        <v>37</v>
      </c>
      <c r="C25" s="44" t="s">
        <v>38</v>
      </c>
      <c r="D25" s="41">
        <v>172</v>
      </c>
      <c r="E25" s="41">
        <v>240</v>
      </c>
      <c r="F25" s="42" t="s">
        <v>48</v>
      </c>
      <c r="G25" s="43"/>
      <c r="H25" s="41">
        <f t="shared" si="0"/>
        <v>69</v>
      </c>
      <c r="I25" s="44" t="s">
        <v>66</v>
      </c>
    </row>
    <row r="26" spans="1:10" x14ac:dyDescent="0.25">
      <c r="D26" s="8"/>
      <c r="E26" s="8"/>
    </row>
    <row r="27" spans="1:10" s="1" customFormat="1" ht="30" customHeight="1" x14ac:dyDescent="0.25">
      <c r="A27" s="2">
        <f ca="1">LEN($B27)</f>
        <v>240</v>
      </c>
      <c r="B27" s="94" t="str">
        <f ca="1">_xlfn.CONCAT(I4:I25)</f>
        <v xml:space="preserve">34100000      080209017015000137                    01234 000000012345 0REDE ANCORA-RJ IMPORTADORA EXPBANCO ITAU                              12604202416191700000000000000                                                                     </v>
      </c>
      <c r="C27" s="94"/>
      <c r="D27" s="94"/>
      <c r="E27" s="94"/>
      <c r="F27" s="94"/>
      <c r="G27" s="94"/>
      <c r="H27" s="94"/>
      <c r="I27" s="94"/>
      <c r="J27" s="94"/>
    </row>
    <row r="28" spans="1:10" s="1" customFormat="1" ht="30" customHeight="1" x14ac:dyDescent="0.25">
      <c r="A28" s="2">
        <f>LEN($B28)</f>
        <v>240</v>
      </c>
      <c r="B28" s="95" t="s">
        <v>252</v>
      </c>
      <c r="C28" s="95"/>
      <c r="D28" s="95"/>
      <c r="E28" s="95"/>
      <c r="F28" s="95"/>
      <c r="G28" s="95"/>
      <c r="H28" s="95"/>
      <c r="I28" s="95"/>
      <c r="J28" s="95"/>
    </row>
    <row r="29" spans="1:10" x14ac:dyDescent="0.25">
      <c r="D29" s="8"/>
      <c r="E29" s="8"/>
    </row>
    <row r="30" spans="1:10" x14ac:dyDescent="0.25">
      <c r="D30" s="8"/>
      <c r="E30" s="8"/>
    </row>
    <row r="31" spans="1:10" x14ac:dyDescent="0.25">
      <c r="D31" s="8"/>
      <c r="E31" s="8"/>
    </row>
    <row r="32" spans="1:10" x14ac:dyDescent="0.25">
      <c r="D32" s="8"/>
      <c r="E32" s="8"/>
    </row>
    <row r="33" spans="4:5" x14ac:dyDescent="0.25">
      <c r="D33" s="8"/>
      <c r="E33" s="8"/>
    </row>
    <row r="34" spans="4:5" x14ac:dyDescent="0.25">
      <c r="D34" s="8"/>
      <c r="E34" s="8"/>
    </row>
    <row r="35" spans="4:5" x14ac:dyDescent="0.25">
      <c r="D35" s="8"/>
      <c r="E35" s="8"/>
    </row>
    <row r="36" spans="4:5" x14ac:dyDescent="0.25">
      <c r="D36" s="8"/>
      <c r="E36" s="8"/>
    </row>
    <row r="37" spans="4:5" x14ac:dyDescent="0.25">
      <c r="D37" s="8"/>
      <c r="E37" s="8"/>
    </row>
    <row r="38" spans="4:5" x14ac:dyDescent="0.25">
      <c r="D38" s="8"/>
      <c r="E38" s="8"/>
    </row>
    <row r="39" spans="4:5" x14ac:dyDescent="0.25">
      <c r="D39" s="8"/>
      <c r="E39" s="8"/>
    </row>
    <row r="40" spans="4:5" x14ac:dyDescent="0.25">
      <c r="D40" s="8"/>
      <c r="E40" s="8"/>
    </row>
    <row r="41" spans="4:5" x14ac:dyDescent="0.25">
      <c r="D41" s="8"/>
      <c r="E41" s="8"/>
    </row>
    <row r="42" spans="4:5" x14ac:dyDescent="0.25">
      <c r="D42" s="8"/>
      <c r="E42" s="8"/>
    </row>
    <row r="43" spans="4:5" x14ac:dyDescent="0.25">
      <c r="D43" s="8"/>
      <c r="E43" s="8"/>
    </row>
    <row r="44" spans="4:5" x14ac:dyDescent="0.25">
      <c r="D44" s="8"/>
      <c r="E44" s="8"/>
    </row>
    <row r="45" spans="4:5" x14ac:dyDescent="0.25">
      <c r="D45" s="8"/>
      <c r="E45" s="8"/>
    </row>
    <row r="46" spans="4:5" x14ac:dyDescent="0.25">
      <c r="D46" s="8"/>
      <c r="E46" s="8"/>
    </row>
  </sheetData>
  <sheetProtection algorithmName="SHA-512" hashValue="2vHWB2Bj97grfMp0i50KtEqeBduBOBnMhH3ecnmhzEmFgHMOTjsIUjq4vbi50sBIcFH6wCtAsnOflmBzjMot2A==" saltValue="DHJpAcETyrSg0RoZUDXavg==" spinCount="100000" sheet="1" objects="1" scenarios="1" selectLockedCells="1" selectUnlockedCells="1"/>
  <mergeCells count="5">
    <mergeCell ref="D3:E3"/>
    <mergeCell ref="I2:I3"/>
    <mergeCell ref="B27:J27"/>
    <mergeCell ref="B28:J28"/>
    <mergeCell ref="B2:G2"/>
  </mergeCells>
  <conditionalFormatting sqref="A27:A28">
    <cfRule type="cellIs" dxfId="5" priority="1" operator="between">
      <formula>1</formula>
      <formula>239</formula>
    </cfRule>
  </conditionalFormatting>
  <dataValidations count="1">
    <dataValidation type="textLength" operator="equal" allowBlank="1" showInputMessage="1" showErrorMessage="1" errorTitle="IMPORTANTE!" error="_x000a_Informe a quantidade correta de caracteres." sqref="I4:I25" xr:uid="{B6CDFC23-D021-4E0F-878E-4E3946741FFD}">
      <formula1>$H4</formula1>
    </dataValidation>
  </dataValidations>
  <pageMargins left="0.511811024" right="0.511811024" top="0.78740157499999996" bottom="0.78740157499999996" header="0.31496062000000002" footer="0.31496062000000002"/>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31A257-541C-44B0-9819-954B04C9F3CB}">
  <sheetPr codeName="Planilha5">
    <tabColor theme="9" tint="0.59999389629810485"/>
  </sheetPr>
  <dimension ref="A2:J35"/>
  <sheetViews>
    <sheetView showGridLines="0" showRowColHeaders="0" zoomScale="90" zoomScaleNormal="90" workbookViewId="0">
      <selection activeCell="I9" sqref="I9"/>
    </sheetView>
  </sheetViews>
  <sheetFormatPr defaultColWidth="0" defaultRowHeight="15" x14ac:dyDescent="0.25"/>
  <cols>
    <col min="1" max="1" width="4.7109375" customWidth="1"/>
    <col min="2" max="2" width="30.7109375" style="7" customWidth="1"/>
    <col min="3" max="3" width="40.7109375" style="7" customWidth="1"/>
    <col min="4" max="5" width="8.7109375" style="5" customWidth="1"/>
    <col min="6" max="6" width="16.7109375" style="5" customWidth="1"/>
    <col min="7" max="7" width="30.7109375" style="4" customWidth="1"/>
    <col min="8" max="8" width="4.7109375" customWidth="1"/>
    <col min="9" max="9" width="53.5703125" style="4" customWidth="1"/>
    <col min="10" max="10" width="4.7109375" customWidth="1"/>
    <col min="11" max="16384" width="9.140625" hidden="1"/>
  </cols>
  <sheetData>
    <row r="2" spans="2:9" s="1" customFormat="1" ht="21.95" customHeight="1" x14ac:dyDescent="0.25">
      <c r="B2" s="96" t="s">
        <v>72</v>
      </c>
      <c r="C2" s="96"/>
      <c r="D2" s="96"/>
      <c r="E2" s="96"/>
      <c r="F2" s="96"/>
      <c r="G2" s="96"/>
      <c r="I2" s="93" t="s">
        <v>59</v>
      </c>
    </row>
    <row r="3" spans="2:9" s="1" customFormat="1" ht="21.95" customHeight="1" x14ac:dyDescent="0.25">
      <c r="B3" s="9" t="s">
        <v>30</v>
      </c>
      <c r="C3" s="9" t="s">
        <v>31</v>
      </c>
      <c r="D3" s="92" t="s">
        <v>32</v>
      </c>
      <c r="E3" s="92"/>
      <c r="F3" s="6" t="s">
        <v>33</v>
      </c>
      <c r="G3" s="9" t="s">
        <v>50</v>
      </c>
      <c r="I3" s="93"/>
    </row>
    <row r="4" spans="2:9" ht="20.100000000000001" customHeight="1" x14ac:dyDescent="0.25">
      <c r="B4" s="44" t="s">
        <v>68</v>
      </c>
      <c r="C4" s="44" t="s">
        <v>69</v>
      </c>
      <c r="D4" s="41">
        <v>1</v>
      </c>
      <c r="E4" s="41">
        <v>3</v>
      </c>
      <c r="F4" s="42" t="s">
        <v>3</v>
      </c>
      <c r="G4" s="43">
        <v>341</v>
      </c>
      <c r="H4" s="41">
        <f>(E4-D4)+1</f>
        <v>3</v>
      </c>
      <c r="I4" s="44">
        <f>HEADER_ARQUIVO!I4</f>
        <v>341</v>
      </c>
    </row>
    <row r="5" spans="2:9" ht="20.100000000000001" customHeight="1" x14ac:dyDescent="0.25">
      <c r="B5" s="44" t="s">
        <v>34</v>
      </c>
      <c r="C5" s="44" t="s">
        <v>70</v>
      </c>
      <c r="D5" s="41">
        <v>4</v>
      </c>
      <c r="E5" s="41">
        <v>7</v>
      </c>
      <c r="F5" s="42" t="s">
        <v>36</v>
      </c>
      <c r="G5" s="49" t="s">
        <v>71</v>
      </c>
      <c r="H5" s="41">
        <f>(E5-D5)+1</f>
        <v>4</v>
      </c>
      <c r="I5" s="45" t="s">
        <v>123</v>
      </c>
    </row>
    <row r="6" spans="2:9" ht="20.100000000000001" customHeight="1" x14ac:dyDescent="0.25">
      <c r="B6" s="44" t="s">
        <v>4</v>
      </c>
      <c r="C6" s="44" t="s">
        <v>72</v>
      </c>
      <c r="D6" s="41">
        <v>8</v>
      </c>
      <c r="E6" s="41">
        <v>8</v>
      </c>
      <c r="F6" s="42" t="s">
        <v>6</v>
      </c>
      <c r="G6" s="43">
        <v>1</v>
      </c>
      <c r="H6" s="41">
        <f t="shared" ref="H6" si="0">(E6-D6)+1</f>
        <v>1</v>
      </c>
      <c r="I6" s="44">
        <v>1</v>
      </c>
    </row>
    <row r="7" spans="2:9" ht="20.100000000000001" customHeight="1" x14ac:dyDescent="0.25">
      <c r="B7" s="44" t="s">
        <v>73</v>
      </c>
      <c r="C7" s="44" t="s">
        <v>74</v>
      </c>
      <c r="D7" s="41">
        <v>9</v>
      </c>
      <c r="E7" s="41">
        <v>9</v>
      </c>
      <c r="F7" s="42" t="s">
        <v>40</v>
      </c>
      <c r="G7" s="43" t="s">
        <v>114</v>
      </c>
      <c r="H7" s="41">
        <f t="shared" ref="H7:H31" si="1">(E7-D7)+1</f>
        <v>1</v>
      </c>
      <c r="I7" s="44" t="s">
        <v>122</v>
      </c>
    </row>
    <row r="8" spans="2:9" ht="20.100000000000001" customHeight="1" x14ac:dyDescent="0.25">
      <c r="B8" s="44" t="s">
        <v>75</v>
      </c>
      <c r="C8" s="44" t="s">
        <v>76</v>
      </c>
      <c r="D8" s="41">
        <v>10</v>
      </c>
      <c r="E8" s="41">
        <v>11</v>
      </c>
      <c r="F8" s="42" t="s">
        <v>77</v>
      </c>
      <c r="G8" s="43" t="s">
        <v>78</v>
      </c>
      <c r="H8" s="41">
        <f t="shared" si="1"/>
        <v>2</v>
      </c>
      <c r="I8" s="50">
        <v>20</v>
      </c>
    </row>
    <row r="9" spans="2:9" ht="20.100000000000001" customHeight="1" x14ac:dyDescent="0.25">
      <c r="B9" s="44" t="s">
        <v>115</v>
      </c>
      <c r="C9" s="44" t="s">
        <v>115</v>
      </c>
      <c r="D9" s="41">
        <v>12</v>
      </c>
      <c r="E9" s="41">
        <v>13</v>
      </c>
      <c r="F9" s="42" t="s">
        <v>77</v>
      </c>
      <c r="G9" s="43" t="s">
        <v>79</v>
      </c>
      <c r="H9" s="41">
        <f t="shared" si="1"/>
        <v>2</v>
      </c>
      <c r="I9" s="77">
        <v>41</v>
      </c>
    </row>
    <row r="10" spans="2:9" ht="20.100000000000001" customHeight="1" x14ac:dyDescent="0.25">
      <c r="B10" s="44" t="s">
        <v>80</v>
      </c>
      <c r="C10" s="44" t="s">
        <v>81</v>
      </c>
      <c r="D10" s="41">
        <v>14</v>
      </c>
      <c r="E10" s="41">
        <v>16</v>
      </c>
      <c r="F10" s="42" t="s">
        <v>3</v>
      </c>
      <c r="G10" s="43" t="s">
        <v>116</v>
      </c>
      <c r="H10" s="41">
        <f t="shared" si="1"/>
        <v>3</v>
      </c>
      <c r="I10" s="45" t="s">
        <v>116</v>
      </c>
    </row>
    <row r="11" spans="2:9" ht="20.100000000000001" customHeight="1" x14ac:dyDescent="0.25">
      <c r="B11" s="44" t="s">
        <v>37</v>
      </c>
      <c r="C11" s="44" t="s">
        <v>38</v>
      </c>
      <c r="D11" s="41">
        <v>17</v>
      </c>
      <c r="E11" s="41">
        <v>17</v>
      </c>
      <c r="F11" s="42" t="s">
        <v>40</v>
      </c>
      <c r="G11" s="43"/>
      <c r="H11" s="41">
        <f t="shared" si="1"/>
        <v>1</v>
      </c>
      <c r="I11" s="44" t="s">
        <v>62</v>
      </c>
    </row>
    <row r="12" spans="2:9" ht="20.100000000000001" customHeight="1" x14ac:dyDescent="0.25">
      <c r="B12" s="44" t="s">
        <v>82</v>
      </c>
      <c r="C12" s="44" t="s">
        <v>83</v>
      </c>
      <c r="D12" s="41">
        <v>18</v>
      </c>
      <c r="E12" s="41">
        <v>18</v>
      </c>
      <c r="F12" s="42" t="s">
        <v>6</v>
      </c>
      <c r="G12" s="43" t="s">
        <v>117</v>
      </c>
      <c r="H12" s="41">
        <f t="shared" si="1"/>
        <v>1</v>
      </c>
      <c r="I12" s="44">
        <v>2</v>
      </c>
    </row>
    <row r="13" spans="2:9" ht="20.100000000000001" customHeight="1" x14ac:dyDescent="0.25">
      <c r="B13" s="44" t="s">
        <v>8</v>
      </c>
      <c r="C13" s="44" t="s">
        <v>9</v>
      </c>
      <c r="D13" s="41">
        <v>19</v>
      </c>
      <c r="E13" s="41">
        <v>32</v>
      </c>
      <c r="F13" s="42" t="s">
        <v>84</v>
      </c>
      <c r="G13" s="43" t="s">
        <v>11</v>
      </c>
      <c r="H13" s="41">
        <f t="shared" si="1"/>
        <v>14</v>
      </c>
      <c r="I13" s="51" t="str">
        <f>HEADER_ARQUIVO!I10</f>
        <v>09017015000137</v>
      </c>
    </row>
    <row r="14" spans="2:9" ht="20.100000000000001" customHeight="1" x14ac:dyDescent="0.25">
      <c r="B14" s="44" t="s">
        <v>85</v>
      </c>
      <c r="C14" s="44" t="s">
        <v>86</v>
      </c>
      <c r="D14" s="41">
        <v>33</v>
      </c>
      <c r="E14" s="41">
        <v>36</v>
      </c>
      <c r="F14" s="42" t="s">
        <v>118</v>
      </c>
      <c r="G14" s="43" t="s">
        <v>87</v>
      </c>
      <c r="H14" s="41">
        <f t="shared" si="1"/>
        <v>4</v>
      </c>
      <c r="I14" s="44" t="s">
        <v>125</v>
      </c>
    </row>
    <row r="15" spans="2:9" ht="20.100000000000001" customHeight="1" x14ac:dyDescent="0.25">
      <c r="B15" s="44" t="s">
        <v>37</v>
      </c>
      <c r="C15" s="44" t="s">
        <v>38</v>
      </c>
      <c r="D15" s="41">
        <v>37</v>
      </c>
      <c r="E15" s="41">
        <v>52</v>
      </c>
      <c r="F15" s="42" t="s">
        <v>88</v>
      </c>
      <c r="G15" s="43"/>
      <c r="H15" s="41">
        <f t="shared" si="1"/>
        <v>16</v>
      </c>
      <c r="I15" s="44" t="s">
        <v>124</v>
      </c>
    </row>
    <row r="16" spans="2:9" ht="20.100000000000001" customHeight="1" x14ac:dyDescent="0.25">
      <c r="B16" s="44" t="s">
        <v>89</v>
      </c>
      <c r="C16" s="44" t="s">
        <v>90</v>
      </c>
      <c r="D16" s="41">
        <v>53</v>
      </c>
      <c r="E16" s="41">
        <v>57</v>
      </c>
      <c r="F16" s="42" t="s">
        <v>14</v>
      </c>
      <c r="G16" s="43" t="s">
        <v>11</v>
      </c>
      <c r="H16" s="41">
        <f t="shared" si="1"/>
        <v>5</v>
      </c>
      <c r="I16" s="51" t="str">
        <f>HEADER_ARQUIVO!I12</f>
        <v>01234</v>
      </c>
    </row>
    <row r="17" spans="2:9" ht="20.100000000000001" customHeight="1" x14ac:dyDescent="0.25">
      <c r="B17" s="44" t="s">
        <v>37</v>
      </c>
      <c r="C17" s="44" t="s">
        <v>38</v>
      </c>
      <c r="D17" s="41">
        <v>58</v>
      </c>
      <c r="E17" s="41">
        <v>58</v>
      </c>
      <c r="F17" s="42" t="s">
        <v>40</v>
      </c>
      <c r="G17" s="43"/>
      <c r="H17" s="41">
        <f t="shared" si="1"/>
        <v>1</v>
      </c>
      <c r="I17" s="44" t="s">
        <v>62</v>
      </c>
    </row>
    <row r="18" spans="2:9" ht="20.100000000000001" customHeight="1" x14ac:dyDescent="0.25">
      <c r="B18" s="44" t="s">
        <v>15</v>
      </c>
      <c r="C18" s="44" t="s">
        <v>91</v>
      </c>
      <c r="D18" s="41">
        <v>59</v>
      </c>
      <c r="E18" s="41">
        <v>70</v>
      </c>
      <c r="F18" s="42" t="s">
        <v>16</v>
      </c>
      <c r="G18" s="43" t="s">
        <v>11</v>
      </c>
      <c r="H18" s="41">
        <f t="shared" si="1"/>
        <v>12</v>
      </c>
      <c r="I18" s="51" t="str">
        <f>HEADER_ARQUIVO!I14</f>
        <v>000000012345</v>
      </c>
    </row>
    <row r="19" spans="2:9" ht="20.100000000000001" customHeight="1" x14ac:dyDescent="0.25">
      <c r="B19" s="44" t="s">
        <v>37</v>
      </c>
      <c r="C19" s="44" t="s">
        <v>38</v>
      </c>
      <c r="D19" s="41">
        <v>71</v>
      </c>
      <c r="E19" s="41">
        <v>71</v>
      </c>
      <c r="F19" s="42" t="s">
        <v>40</v>
      </c>
      <c r="G19" s="43"/>
      <c r="H19" s="41">
        <f t="shared" si="1"/>
        <v>1</v>
      </c>
      <c r="I19" s="44" t="s">
        <v>62</v>
      </c>
    </row>
    <row r="20" spans="2:9" ht="20.100000000000001" customHeight="1" x14ac:dyDescent="0.25">
      <c r="B20" s="44" t="s">
        <v>17</v>
      </c>
      <c r="C20" s="44" t="s">
        <v>92</v>
      </c>
      <c r="D20" s="41">
        <v>72</v>
      </c>
      <c r="E20" s="41">
        <v>72</v>
      </c>
      <c r="F20" s="42" t="s">
        <v>6</v>
      </c>
      <c r="G20" s="43" t="s">
        <v>11</v>
      </c>
      <c r="H20" s="41">
        <f t="shared" si="1"/>
        <v>1</v>
      </c>
      <c r="I20" s="51">
        <f>HEADER_ARQUIVO!I16</f>
        <v>0</v>
      </c>
    </row>
    <row r="21" spans="2:9" ht="20.100000000000001" customHeight="1" x14ac:dyDescent="0.25">
      <c r="B21" s="44" t="s">
        <v>41</v>
      </c>
      <c r="C21" s="44" t="s">
        <v>93</v>
      </c>
      <c r="D21" s="41">
        <v>73</v>
      </c>
      <c r="E21" s="41">
        <v>102</v>
      </c>
      <c r="F21" s="42" t="s">
        <v>20</v>
      </c>
      <c r="G21" s="43"/>
      <c r="H21" s="41">
        <f t="shared" si="1"/>
        <v>30</v>
      </c>
      <c r="I21" s="51" t="str">
        <f>HEADER_ARQUIVO!I17</f>
        <v>REDE ANCORA-RJ IMPORTADORA EXP</v>
      </c>
    </row>
    <row r="22" spans="2:9" ht="20.100000000000001" customHeight="1" x14ac:dyDescent="0.25">
      <c r="B22" s="44" t="s">
        <v>94</v>
      </c>
      <c r="C22" s="44" t="s">
        <v>95</v>
      </c>
      <c r="D22" s="41">
        <v>103</v>
      </c>
      <c r="E22" s="41">
        <v>132</v>
      </c>
      <c r="F22" s="42" t="s">
        <v>20</v>
      </c>
      <c r="G22" s="43" t="s">
        <v>96</v>
      </c>
      <c r="H22" s="41">
        <f t="shared" si="1"/>
        <v>30</v>
      </c>
      <c r="I22" s="44" t="s">
        <v>126</v>
      </c>
    </row>
    <row r="23" spans="2:9" ht="20.100000000000001" customHeight="1" x14ac:dyDescent="0.25">
      <c r="B23" s="44" t="s">
        <v>97</v>
      </c>
      <c r="C23" s="44" t="s">
        <v>98</v>
      </c>
      <c r="D23" s="41">
        <v>133</v>
      </c>
      <c r="E23" s="41">
        <v>142</v>
      </c>
      <c r="F23" s="42" t="s">
        <v>58</v>
      </c>
      <c r="G23" s="43" t="s">
        <v>99</v>
      </c>
      <c r="H23" s="41">
        <f t="shared" si="1"/>
        <v>10</v>
      </c>
      <c r="I23" s="44" t="s">
        <v>64</v>
      </c>
    </row>
    <row r="24" spans="2:9" ht="20.100000000000001" customHeight="1" x14ac:dyDescent="0.25">
      <c r="B24" s="44" t="s">
        <v>119</v>
      </c>
      <c r="C24" s="44" t="s">
        <v>120</v>
      </c>
      <c r="D24" s="41">
        <v>143</v>
      </c>
      <c r="E24" s="41">
        <v>172</v>
      </c>
      <c r="F24" s="42" t="s">
        <v>20</v>
      </c>
      <c r="G24" s="43"/>
      <c r="H24" s="41">
        <f t="shared" si="1"/>
        <v>30</v>
      </c>
      <c r="I24" s="51" t="str">
        <f>IF(LEN(GERAR_ARQUIVO!E30)&lt;H24,
_xlfn.CONCAT((GERAR_ARQUIVO!E30),REPT(" ",(H24-(LEN(GERAR_ARQUIVO!E30))))),
(LEFT(GERAR_ARQUIVO!E30,H24)))</f>
        <v xml:space="preserve">RUA MARTINICA                 </v>
      </c>
    </row>
    <row r="25" spans="2:9" ht="20.100000000000001" customHeight="1" x14ac:dyDescent="0.25">
      <c r="B25" s="44" t="s">
        <v>100</v>
      </c>
      <c r="C25" s="44" t="s">
        <v>101</v>
      </c>
      <c r="D25" s="41">
        <v>173</v>
      </c>
      <c r="E25" s="41">
        <v>177</v>
      </c>
      <c r="F25" s="42" t="s">
        <v>14</v>
      </c>
      <c r="G25" s="43"/>
      <c r="H25" s="41">
        <f t="shared" si="1"/>
        <v>5</v>
      </c>
      <c r="I25" s="51" t="str">
        <f>TEXT(GERAR_ARQUIVO!E32,"00000")</f>
        <v>00041</v>
      </c>
    </row>
    <row r="26" spans="2:9" ht="20.100000000000001" customHeight="1" x14ac:dyDescent="0.25">
      <c r="B26" s="44" t="s">
        <v>102</v>
      </c>
      <c r="C26" s="44" t="s">
        <v>103</v>
      </c>
      <c r="D26" s="41">
        <v>178</v>
      </c>
      <c r="E26" s="41">
        <v>192</v>
      </c>
      <c r="F26" s="42" t="s">
        <v>104</v>
      </c>
      <c r="G26" s="43"/>
      <c r="H26" s="41">
        <f t="shared" si="1"/>
        <v>15</v>
      </c>
      <c r="I26" s="51" t="str">
        <f>IF(LEN(GERAR_ARQUIVO!I32)&lt;H26,
_xlfn.CONCAT((GERAR_ARQUIVO!I32),REPT(" ",(H26-(LEN(GERAR_ARQUIVO!I32))))),
(LEFT(GERAR_ARQUIVO!I32,H26)))</f>
        <v xml:space="preserve">               </v>
      </c>
    </row>
    <row r="27" spans="2:9" ht="20.100000000000001" customHeight="1" x14ac:dyDescent="0.25">
      <c r="B27" s="44" t="s">
        <v>105</v>
      </c>
      <c r="C27" s="44" t="s">
        <v>106</v>
      </c>
      <c r="D27" s="41">
        <v>193</v>
      </c>
      <c r="E27" s="41">
        <v>212</v>
      </c>
      <c r="F27" s="42" t="s">
        <v>56</v>
      </c>
      <c r="G27" s="43"/>
      <c r="H27" s="41">
        <f>(E27-D27)+1</f>
        <v>20</v>
      </c>
      <c r="I27" s="51" t="str">
        <f>IF(LEN(GERAR_ARQUIVO!N32)&lt;H27,
_xlfn.CONCAT((GERAR_ARQUIVO!N32),REPT(" ",(H27-(LEN(GERAR_ARQUIVO!N32))))),
(LEFT(GERAR_ARQUIVO!N32,H27)))</f>
        <v xml:space="preserve">RIO DE JANEIRO      </v>
      </c>
    </row>
    <row r="28" spans="2:9" ht="20.100000000000001" customHeight="1" x14ac:dyDescent="0.25">
      <c r="B28" s="44" t="s">
        <v>107</v>
      </c>
      <c r="C28" s="44" t="s">
        <v>107</v>
      </c>
      <c r="D28" s="41">
        <v>213</v>
      </c>
      <c r="E28" s="41">
        <v>220</v>
      </c>
      <c r="F28" s="42" t="s">
        <v>44</v>
      </c>
      <c r="G28" s="43"/>
      <c r="H28" s="41">
        <f t="shared" si="1"/>
        <v>8</v>
      </c>
      <c r="I28" s="51" t="str">
        <f>TEXT(GERAR_ARQUIVO!W32,"00000000")</f>
        <v>21241081</v>
      </c>
    </row>
    <row r="29" spans="2:9" ht="20.100000000000001" customHeight="1" x14ac:dyDescent="0.25">
      <c r="B29" s="44" t="s">
        <v>108</v>
      </c>
      <c r="C29" s="44" t="s">
        <v>109</v>
      </c>
      <c r="D29" s="41">
        <v>221</v>
      </c>
      <c r="E29" s="41">
        <v>222</v>
      </c>
      <c r="F29" s="42" t="s">
        <v>110</v>
      </c>
      <c r="G29" s="43"/>
      <c r="H29" s="41">
        <f t="shared" si="1"/>
        <v>2</v>
      </c>
      <c r="I29" s="51" t="str">
        <f>GERAR_ARQUIVO!T32</f>
        <v>RJ</v>
      </c>
    </row>
    <row r="30" spans="2:9" ht="20.100000000000001" customHeight="1" x14ac:dyDescent="0.25">
      <c r="B30" s="44" t="s">
        <v>37</v>
      </c>
      <c r="C30" s="44" t="s">
        <v>38</v>
      </c>
      <c r="D30" s="41">
        <v>223</v>
      </c>
      <c r="E30" s="41">
        <v>230</v>
      </c>
      <c r="F30" s="42" t="s">
        <v>121</v>
      </c>
      <c r="G30" s="43"/>
      <c r="H30" s="41">
        <f t="shared" si="1"/>
        <v>8</v>
      </c>
      <c r="I30" s="44" t="s">
        <v>129</v>
      </c>
    </row>
    <row r="31" spans="2:9" ht="20.100000000000001" customHeight="1" x14ac:dyDescent="0.25">
      <c r="B31" s="44" t="s">
        <v>111</v>
      </c>
      <c r="C31" s="44" t="s">
        <v>112</v>
      </c>
      <c r="D31" s="41">
        <v>231</v>
      </c>
      <c r="E31" s="41">
        <v>240</v>
      </c>
      <c r="F31" s="42" t="s">
        <v>58</v>
      </c>
      <c r="G31" s="43" t="s">
        <v>113</v>
      </c>
      <c r="H31" s="41">
        <f t="shared" si="1"/>
        <v>10</v>
      </c>
      <c r="I31" s="44" t="s">
        <v>64</v>
      </c>
    </row>
    <row r="32" spans="2:9" ht="20.100000000000001" customHeight="1" x14ac:dyDescent="0.25">
      <c r="D32" s="8"/>
      <c r="E32" s="8"/>
      <c r="H32" s="8"/>
      <c r="I32" s="7"/>
    </row>
    <row r="33" spans="1:10" s="1" customFormat="1" ht="30" customHeight="1" x14ac:dyDescent="0.25">
      <c r="A33" s="2">
        <f>LEN($B33)</f>
        <v>240</v>
      </c>
      <c r="B33" s="94" t="str">
        <f>_xlfn.CONCAT(I4:I31)</f>
        <v xml:space="preserve">34100011C2041040 209017015000137                    01234 000000012345 0REDE ANCORA-RJ IMPORTADORA EXP                                        RUA MARTINICA                 00041               RIO DE JANEIRO      21241081RJ                  </v>
      </c>
      <c r="C33" s="94"/>
      <c r="D33" s="94"/>
      <c r="E33" s="94"/>
      <c r="F33" s="94"/>
      <c r="G33" s="94"/>
      <c r="H33" s="94"/>
      <c r="I33" s="94"/>
      <c r="J33" s="94"/>
    </row>
    <row r="34" spans="1:10" s="1" customFormat="1" ht="30" customHeight="1" x14ac:dyDescent="0.25">
      <c r="A34" s="2">
        <f>LEN($B34)</f>
        <v>240</v>
      </c>
      <c r="B34" s="97" t="s">
        <v>0</v>
      </c>
      <c r="C34" s="97"/>
      <c r="D34" s="97"/>
      <c r="E34" s="97"/>
      <c r="F34" s="97"/>
      <c r="G34" s="97"/>
      <c r="H34" s="97"/>
      <c r="I34" s="97"/>
      <c r="J34" s="97"/>
    </row>
    <row r="35" spans="1:10" ht="15.75" x14ac:dyDescent="0.25">
      <c r="A35" s="34" t="str">
        <f>IF(B33=B34,"=","")</f>
        <v/>
      </c>
    </row>
  </sheetData>
  <sheetProtection algorithmName="SHA-512" hashValue="yatbsNT2He7JQu3uh1XNoYzd649cccgOZ39YxHovXgG7Kkb2QOu0rMZ8G3H0IhYunQrNbxiT5YMA3hUryZiBXQ==" saltValue="a7iJ0EL3Q/19mNp4xYEueg==" spinCount="100000" sheet="1" objects="1" scenarios="1" selectLockedCells="1" selectUnlockedCells="1"/>
  <mergeCells count="5">
    <mergeCell ref="B2:G2"/>
    <mergeCell ref="I2:I3"/>
    <mergeCell ref="D3:E3"/>
    <mergeCell ref="B33:J33"/>
    <mergeCell ref="B34:J34"/>
  </mergeCells>
  <conditionalFormatting sqref="A33:A34">
    <cfRule type="cellIs" dxfId="4" priority="1" operator="between">
      <formula>1</formula>
      <formula>239</formula>
    </cfRule>
  </conditionalFormatting>
  <dataValidations count="1">
    <dataValidation type="textLength" operator="equal" allowBlank="1" showInputMessage="1" showErrorMessage="1" errorTitle="IMPORTANTE!" error="_x000a_Informe a quantidade correta de caracteres." sqref="I4:I32" xr:uid="{D3BD888D-1E40-4349-918B-73EBE24A607A}">
      <formula1>$H4</formula1>
    </dataValidation>
  </dataValidations>
  <pageMargins left="0.511811024" right="0.511811024" top="0.78740157499999996" bottom="0.78740157499999996" header="0.31496062000000002" footer="0.31496062000000002"/>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67773D-B39F-4CE9-A6F3-CF332964F6BE}">
  <sheetPr codeName="Planilha6">
    <tabColor theme="9" tint="0.59999389629810485"/>
  </sheetPr>
  <dimension ref="A2:J35"/>
  <sheetViews>
    <sheetView showGridLines="0" showRowColHeaders="0" zoomScale="90" zoomScaleNormal="90" workbookViewId="0">
      <selection activeCell="B35" sqref="B35:J35"/>
    </sheetView>
  </sheetViews>
  <sheetFormatPr defaultColWidth="0" defaultRowHeight="15" x14ac:dyDescent="0.25"/>
  <cols>
    <col min="1" max="1" width="4.7109375" customWidth="1"/>
    <col min="2" max="2" width="30.7109375" style="7" customWidth="1"/>
    <col min="3" max="3" width="40.7109375" style="7" customWidth="1"/>
    <col min="4" max="5" width="8.7109375" style="5" customWidth="1"/>
    <col min="6" max="6" width="16.7109375" style="5" customWidth="1"/>
    <col min="7" max="7" width="30.7109375" style="4" customWidth="1"/>
    <col min="8" max="8" width="4.7109375" customWidth="1"/>
    <col min="9" max="9" width="65.28515625" style="4" customWidth="1"/>
    <col min="10" max="10" width="4.7109375" customWidth="1"/>
    <col min="11" max="16384" width="9.140625" hidden="1"/>
  </cols>
  <sheetData>
    <row r="2" spans="2:9" s="1" customFormat="1" ht="21.95" customHeight="1" x14ac:dyDescent="0.25">
      <c r="B2" s="96" t="s">
        <v>196</v>
      </c>
      <c r="C2" s="96"/>
      <c r="D2" s="96"/>
      <c r="E2" s="96"/>
      <c r="F2" s="96"/>
      <c r="G2" s="96"/>
      <c r="I2" s="93" t="s">
        <v>59</v>
      </c>
    </row>
    <row r="3" spans="2:9" s="1" customFormat="1" ht="21.95" customHeight="1" x14ac:dyDescent="0.25">
      <c r="B3" s="9" t="s">
        <v>30</v>
      </c>
      <c r="C3" s="9" t="s">
        <v>31</v>
      </c>
      <c r="D3" s="92" t="s">
        <v>32</v>
      </c>
      <c r="E3" s="92"/>
      <c r="F3" s="6" t="s">
        <v>33</v>
      </c>
      <c r="G3" s="9" t="s">
        <v>50</v>
      </c>
      <c r="I3" s="93"/>
    </row>
    <row r="4" spans="2:9" ht="20.100000000000001" customHeight="1" x14ac:dyDescent="0.25">
      <c r="B4" s="44" t="s">
        <v>68</v>
      </c>
      <c r="C4" s="44" t="s">
        <v>130</v>
      </c>
      <c r="D4" s="41">
        <v>1</v>
      </c>
      <c r="E4" s="41">
        <v>3</v>
      </c>
      <c r="F4" s="42" t="s">
        <v>3</v>
      </c>
      <c r="G4" s="43">
        <v>341</v>
      </c>
      <c r="H4" s="41">
        <f>(E4-D4)+1</f>
        <v>3</v>
      </c>
      <c r="I4" s="44">
        <f>HEADER_ARQUIVO!I4</f>
        <v>341</v>
      </c>
    </row>
    <row r="5" spans="2:9" ht="20.100000000000001" customHeight="1" x14ac:dyDescent="0.25">
      <c r="B5" s="44" t="s">
        <v>131</v>
      </c>
      <c r="C5" s="44" t="s">
        <v>35</v>
      </c>
      <c r="D5" s="41">
        <v>4</v>
      </c>
      <c r="E5" s="41">
        <v>7</v>
      </c>
      <c r="F5" s="42" t="s">
        <v>36</v>
      </c>
      <c r="G5" s="43" t="s">
        <v>71</v>
      </c>
      <c r="H5" s="41">
        <f t="shared" ref="H5:H32" si="0">(E5-D5)+1</f>
        <v>4</v>
      </c>
      <c r="I5" s="45" t="str">
        <f>HEADER_LOTE!I5</f>
        <v>0001</v>
      </c>
    </row>
    <row r="6" spans="2:9" ht="20.100000000000001" customHeight="1" x14ac:dyDescent="0.25">
      <c r="B6" s="44" t="s">
        <v>4</v>
      </c>
      <c r="C6" s="44" t="s">
        <v>132</v>
      </c>
      <c r="D6" s="41">
        <v>8</v>
      </c>
      <c r="E6" s="41">
        <v>8</v>
      </c>
      <c r="F6" s="42" t="s">
        <v>6</v>
      </c>
      <c r="G6" s="43">
        <v>3</v>
      </c>
      <c r="H6" s="41">
        <f t="shared" si="0"/>
        <v>1</v>
      </c>
      <c r="I6" s="44">
        <v>3</v>
      </c>
    </row>
    <row r="7" spans="2:9" ht="20.100000000000001" customHeight="1" x14ac:dyDescent="0.25">
      <c r="B7" s="44" t="s">
        <v>133</v>
      </c>
      <c r="C7" s="44" t="s">
        <v>134</v>
      </c>
      <c r="D7" s="41">
        <v>9</v>
      </c>
      <c r="E7" s="41">
        <v>13</v>
      </c>
      <c r="F7" s="42" t="s">
        <v>14</v>
      </c>
      <c r="G7" s="43" t="s">
        <v>135</v>
      </c>
      <c r="H7" s="41">
        <f t="shared" si="0"/>
        <v>5</v>
      </c>
      <c r="I7" s="48" t="s">
        <v>127</v>
      </c>
    </row>
    <row r="8" spans="2:9" ht="20.100000000000001" customHeight="1" x14ac:dyDescent="0.25">
      <c r="B8" s="44" t="s">
        <v>136</v>
      </c>
      <c r="C8" s="44" t="s">
        <v>137</v>
      </c>
      <c r="D8" s="41">
        <v>14</v>
      </c>
      <c r="E8" s="41">
        <v>14</v>
      </c>
      <c r="F8" s="42" t="s">
        <v>40</v>
      </c>
      <c r="G8" s="43" t="s">
        <v>138</v>
      </c>
      <c r="H8" s="41">
        <f t="shared" si="0"/>
        <v>1</v>
      </c>
      <c r="I8" s="44" t="s">
        <v>138</v>
      </c>
    </row>
    <row r="9" spans="2:9" ht="20.100000000000001" customHeight="1" x14ac:dyDescent="0.25">
      <c r="B9" s="44" t="s">
        <v>139</v>
      </c>
      <c r="C9" s="44" t="s">
        <v>139</v>
      </c>
      <c r="D9" s="41">
        <v>15</v>
      </c>
      <c r="E9" s="41">
        <v>17</v>
      </c>
      <c r="F9" s="42" t="s">
        <v>3</v>
      </c>
      <c r="G9" s="43" t="s">
        <v>140</v>
      </c>
      <c r="H9" s="41">
        <f t="shared" si="0"/>
        <v>3</v>
      </c>
      <c r="I9" s="45" t="s">
        <v>198</v>
      </c>
    </row>
    <row r="10" spans="2:9" ht="20.100000000000001" customHeight="1" x14ac:dyDescent="0.25">
      <c r="B10" s="44" t="s">
        <v>141</v>
      </c>
      <c r="C10" s="44" t="s">
        <v>142</v>
      </c>
      <c r="D10" s="41">
        <v>18</v>
      </c>
      <c r="E10" s="41">
        <v>20</v>
      </c>
      <c r="F10" s="42" t="s">
        <v>3</v>
      </c>
      <c r="G10" s="43" t="s">
        <v>143</v>
      </c>
      <c r="H10" s="41">
        <f t="shared" si="0"/>
        <v>3</v>
      </c>
      <c r="I10" s="45" t="s">
        <v>198</v>
      </c>
    </row>
    <row r="11" spans="2:9" ht="20.100000000000001" customHeight="1" x14ac:dyDescent="0.25">
      <c r="B11" s="44" t="s">
        <v>144</v>
      </c>
      <c r="C11" s="44" t="s">
        <v>145</v>
      </c>
      <c r="D11" s="41">
        <v>21</v>
      </c>
      <c r="E11" s="41">
        <v>23</v>
      </c>
      <c r="F11" s="42" t="s">
        <v>3</v>
      </c>
      <c r="G11" s="43"/>
      <c r="H11" s="41">
        <f t="shared" si="0"/>
        <v>3</v>
      </c>
      <c r="I11" s="48" t="str">
        <f>REPT("X",H11)</f>
        <v>XXX</v>
      </c>
    </row>
    <row r="12" spans="2:9" ht="20.100000000000001" customHeight="1" x14ac:dyDescent="0.25">
      <c r="B12" s="44" t="s">
        <v>146</v>
      </c>
      <c r="C12" s="44" t="s">
        <v>147</v>
      </c>
      <c r="D12" s="41">
        <v>24</v>
      </c>
      <c r="E12" s="41">
        <v>43</v>
      </c>
      <c r="F12" s="42" t="s">
        <v>56</v>
      </c>
      <c r="G12" s="43" t="s">
        <v>148</v>
      </c>
      <c r="H12" s="41">
        <f t="shared" si="0"/>
        <v>20</v>
      </c>
      <c r="I12" s="48" t="str">
        <f>REPT("X",H12)</f>
        <v>XXXXXXXXXXXXXXXXXXXX</v>
      </c>
    </row>
    <row r="13" spans="2:9" ht="20.100000000000001" customHeight="1" x14ac:dyDescent="0.25">
      <c r="B13" s="44" t="s">
        <v>149</v>
      </c>
      <c r="C13" s="44" t="s">
        <v>149</v>
      </c>
      <c r="D13" s="41">
        <v>44</v>
      </c>
      <c r="E13" s="41">
        <v>73</v>
      </c>
      <c r="F13" s="42" t="s">
        <v>20</v>
      </c>
      <c r="G13" s="43" t="s">
        <v>150</v>
      </c>
      <c r="H13" s="41">
        <f t="shared" si="0"/>
        <v>30</v>
      </c>
      <c r="I13" s="48" t="str">
        <f>REPT("X",H13)</f>
        <v>XXXXXXXXXXXXXXXXXXXXXXXXXXXXXX</v>
      </c>
    </row>
    <row r="14" spans="2:9" ht="20.100000000000001" customHeight="1" x14ac:dyDescent="0.25">
      <c r="B14" s="44" t="s">
        <v>151</v>
      </c>
      <c r="C14" s="44" t="s">
        <v>152</v>
      </c>
      <c r="D14" s="41">
        <v>74</v>
      </c>
      <c r="E14" s="41">
        <v>93</v>
      </c>
      <c r="F14" s="42" t="s">
        <v>56</v>
      </c>
      <c r="G14" s="43"/>
      <c r="H14" s="41">
        <f t="shared" si="0"/>
        <v>20</v>
      </c>
      <c r="I14" s="44" t="s">
        <v>61</v>
      </c>
    </row>
    <row r="15" spans="2:9" ht="20.100000000000001" customHeight="1" x14ac:dyDescent="0.25">
      <c r="B15" s="44" t="s">
        <v>153</v>
      </c>
      <c r="C15" s="44" t="s">
        <v>154</v>
      </c>
      <c r="D15" s="41">
        <v>94</v>
      </c>
      <c r="E15" s="41">
        <v>101</v>
      </c>
      <c r="F15" s="42" t="s">
        <v>44</v>
      </c>
      <c r="G15" s="43" t="s">
        <v>45</v>
      </c>
      <c r="H15" s="41">
        <f t="shared" si="0"/>
        <v>8</v>
      </c>
      <c r="I15" s="44" t="str">
        <f>TEXT(GERAR_ARQUIVO!U41,"DDMMAAAA")</f>
        <v>31122024</v>
      </c>
    </row>
    <row r="16" spans="2:9" ht="20.100000000000001" customHeight="1" x14ac:dyDescent="0.25">
      <c r="B16" s="44" t="s">
        <v>155</v>
      </c>
      <c r="C16" s="44" t="s">
        <v>156</v>
      </c>
      <c r="D16" s="41">
        <v>102</v>
      </c>
      <c r="E16" s="41">
        <v>104</v>
      </c>
      <c r="F16" s="42" t="s">
        <v>157</v>
      </c>
      <c r="G16" s="43" t="s">
        <v>158</v>
      </c>
      <c r="H16" s="41">
        <f t="shared" si="0"/>
        <v>3</v>
      </c>
      <c r="I16" s="44" t="s">
        <v>199</v>
      </c>
    </row>
    <row r="17" spans="2:9" ht="20.100000000000001" customHeight="1" x14ac:dyDescent="0.25">
      <c r="B17" s="44" t="s">
        <v>159</v>
      </c>
      <c r="C17" s="44" t="s">
        <v>160</v>
      </c>
      <c r="D17" s="41">
        <v>105</v>
      </c>
      <c r="E17" s="41">
        <v>112</v>
      </c>
      <c r="F17" s="42" t="s">
        <v>121</v>
      </c>
      <c r="G17" s="43" t="s">
        <v>143</v>
      </c>
      <c r="H17" s="41">
        <f t="shared" si="0"/>
        <v>8</v>
      </c>
      <c r="I17" s="45" t="s">
        <v>200</v>
      </c>
    </row>
    <row r="18" spans="2:9" ht="20.100000000000001" customHeight="1" x14ac:dyDescent="0.25">
      <c r="B18" s="44" t="s">
        <v>194</v>
      </c>
      <c r="C18" s="44" t="s">
        <v>195</v>
      </c>
      <c r="D18" s="41">
        <v>113</v>
      </c>
      <c r="E18" s="41">
        <v>114</v>
      </c>
      <c r="F18" s="42" t="s">
        <v>110</v>
      </c>
      <c r="G18" s="43" t="s">
        <v>161</v>
      </c>
      <c r="H18" s="41">
        <f t="shared" si="0"/>
        <v>2</v>
      </c>
      <c r="I18" s="45" t="s">
        <v>201</v>
      </c>
    </row>
    <row r="19" spans="2:9" ht="20.100000000000001" customHeight="1" x14ac:dyDescent="0.25">
      <c r="B19" s="44" t="s">
        <v>46</v>
      </c>
      <c r="C19" s="44" t="s">
        <v>38</v>
      </c>
      <c r="D19" s="41">
        <v>115</v>
      </c>
      <c r="E19" s="41">
        <v>119</v>
      </c>
      <c r="F19" s="42" t="s">
        <v>162</v>
      </c>
      <c r="G19" s="43"/>
      <c r="H19" s="41">
        <f t="shared" si="0"/>
        <v>5</v>
      </c>
      <c r="I19" s="45" t="s">
        <v>67</v>
      </c>
    </row>
    <row r="20" spans="2:9" ht="20.100000000000001" customHeight="1" x14ac:dyDescent="0.25">
      <c r="B20" s="44" t="s">
        <v>163</v>
      </c>
      <c r="C20" s="44" t="s">
        <v>164</v>
      </c>
      <c r="D20" s="41">
        <v>120</v>
      </c>
      <c r="E20" s="41">
        <v>134</v>
      </c>
      <c r="F20" s="42" t="s">
        <v>165</v>
      </c>
      <c r="G20" s="43"/>
      <c r="H20" s="41">
        <f t="shared" si="0"/>
        <v>15</v>
      </c>
      <c r="I20" s="48" t="str">
        <f>REPT("X",H20)</f>
        <v>XXXXXXXXXXXXXXX</v>
      </c>
    </row>
    <row r="21" spans="2:9" ht="20.100000000000001" customHeight="1" x14ac:dyDescent="0.25">
      <c r="B21" s="44" t="s">
        <v>166</v>
      </c>
      <c r="C21" s="44" t="s">
        <v>167</v>
      </c>
      <c r="D21" s="41">
        <v>135</v>
      </c>
      <c r="E21" s="41">
        <v>149</v>
      </c>
      <c r="F21" s="42" t="s">
        <v>104</v>
      </c>
      <c r="G21" s="43" t="s">
        <v>168</v>
      </c>
      <c r="H21" s="41">
        <f t="shared" si="0"/>
        <v>15</v>
      </c>
      <c r="I21" s="44" t="s">
        <v>128</v>
      </c>
    </row>
    <row r="22" spans="2:9" ht="20.100000000000001" customHeight="1" x14ac:dyDescent="0.25">
      <c r="B22" s="44" t="s">
        <v>37</v>
      </c>
      <c r="C22" s="44" t="s">
        <v>38</v>
      </c>
      <c r="D22" s="41">
        <v>150</v>
      </c>
      <c r="E22" s="41">
        <v>154</v>
      </c>
      <c r="F22" s="42" t="s">
        <v>188</v>
      </c>
      <c r="G22" s="43" t="s">
        <v>169</v>
      </c>
      <c r="H22" s="41">
        <f t="shared" si="0"/>
        <v>5</v>
      </c>
      <c r="I22" s="44" t="s">
        <v>202</v>
      </c>
    </row>
    <row r="23" spans="2:9" ht="20.100000000000001" customHeight="1" x14ac:dyDescent="0.25">
      <c r="B23" s="44" t="s">
        <v>170</v>
      </c>
      <c r="C23" s="44" t="s">
        <v>171</v>
      </c>
      <c r="D23" s="41">
        <v>155</v>
      </c>
      <c r="E23" s="41">
        <v>162</v>
      </c>
      <c r="F23" s="42" t="s">
        <v>44</v>
      </c>
      <c r="G23" s="43" t="s">
        <v>172</v>
      </c>
      <c r="H23" s="41">
        <f t="shared" si="0"/>
        <v>8</v>
      </c>
      <c r="I23" s="44" t="str">
        <f>I15</f>
        <v>31122024</v>
      </c>
    </row>
    <row r="24" spans="2:9" ht="20.100000000000001" customHeight="1" x14ac:dyDescent="0.25">
      <c r="B24" s="44" t="s">
        <v>173</v>
      </c>
      <c r="C24" s="44" t="s">
        <v>174</v>
      </c>
      <c r="D24" s="41">
        <v>163</v>
      </c>
      <c r="E24" s="41">
        <v>177</v>
      </c>
      <c r="F24" s="42" t="s">
        <v>165</v>
      </c>
      <c r="G24" s="43"/>
      <c r="H24" s="41">
        <f t="shared" si="0"/>
        <v>15</v>
      </c>
      <c r="I24" s="48" t="str">
        <f>REPT("X",H24)</f>
        <v>XXXXXXXXXXXXXXX</v>
      </c>
    </row>
    <row r="25" spans="2:9" ht="20.100000000000001" customHeight="1" x14ac:dyDescent="0.25">
      <c r="B25" s="44" t="s">
        <v>175</v>
      </c>
      <c r="C25" s="44" t="s">
        <v>176</v>
      </c>
      <c r="D25" s="41">
        <v>178</v>
      </c>
      <c r="E25" s="41">
        <v>197</v>
      </c>
      <c r="F25" s="42" t="s">
        <v>56</v>
      </c>
      <c r="G25" s="43" t="s">
        <v>87</v>
      </c>
      <c r="H25" s="41">
        <f t="shared" si="0"/>
        <v>20</v>
      </c>
      <c r="I25" s="44" t="s">
        <v>61</v>
      </c>
    </row>
    <row r="26" spans="2:9" ht="20.100000000000001" customHeight="1" x14ac:dyDescent="0.25">
      <c r="B26" s="44" t="s">
        <v>177</v>
      </c>
      <c r="C26" s="44" t="s">
        <v>178</v>
      </c>
      <c r="D26" s="41">
        <v>198</v>
      </c>
      <c r="E26" s="41">
        <v>203</v>
      </c>
      <c r="F26" s="42" t="s">
        <v>179</v>
      </c>
      <c r="G26" s="43" t="s">
        <v>180</v>
      </c>
      <c r="H26" s="41">
        <f t="shared" si="0"/>
        <v>6</v>
      </c>
      <c r="I26" s="45" t="s">
        <v>203</v>
      </c>
    </row>
    <row r="27" spans="2:9" ht="20.100000000000001" customHeight="1" x14ac:dyDescent="0.25">
      <c r="B27" s="44" t="s">
        <v>181</v>
      </c>
      <c r="C27" s="44" t="s">
        <v>256</v>
      </c>
      <c r="D27" s="41">
        <v>204</v>
      </c>
      <c r="E27" s="41">
        <v>217</v>
      </c>
      <c r="F27" s="42" t="s">
        <v>10</v>
      </c>
      <c r="G27" s="43" t="s">
        <v>182</v>
      </c>
      <c r="H27" s="41">
        <f t="shared" si="0"/>
        <v>14</v>
      </c>
      <c r="I27" s="48" t="str">
        <f>REPT("X",H27)</f>
        <v>XXXXXXXXXXXXXX</v>
      </c>
    </row>
    <row r="28" spans="2:9" ht="20.100000000000001" customHeight="1" x14ac:dyDescent="0.25">
      <c r="B28" s="44" t="s">
        <v>183</v>
      </c>
      <c r="C28" s="44" t="s">
        <v>184</v>
      </c>
      <c r="D28" s="41">
        <v>218</v>
      </c>
      <c r="E28" s="41">
        <v>219</v>
      </c>
      <c r="F28" s="42" t="s">
        <v>110</v>
      </c>
      <c r="G28" s="43" t="s">
        <v>185</v>
      </c>
      <c r="H28" s="41">
        <f t="shared" si="0"/>
        <v>2</v>
      </c>
      <c r="I28" s="44" t="s">
        <v>204</v>
      </c>
    </row>
    <row r="29" spans="2:9" ht="20.100000000000001" customHeight="1" x14ac:dyDescent="0.25">
      <c r="B29" s="44" t="s">
        <v>186</v>
      </c>
      <c r="C29" s="44" t="s">
        <v>187</v>
      </c>
      <c r="D29" s="41">
        <v>220</v>
      </c>
      <c r="E29" s="41">
        <v>224</v>
      </c>
      <c r="F29" s="42" t="s">
        <v>188</v>
      </c>
      <c r="G29" s="43" t="s">
        <v>189</v>
      </c>
      <c r="H29" s="41">
        <f t="shared" si="0"/>
        <v>5</v>
      </c>
      <c r="I29" s="45" t="s">
        <v>67</v>
      </c>
    </row>
    <row r="30" spans="2:9" ht="20.100000000000001" customHeight="1" x14ac:dyDescent="0.25">
      <c r="B30" s="44" t="s">
        <v>37</v>
      </c>
      <c r="C30" s="44" t="s">
        <v>38</v>
      </c>
      <c r="D30" s="41">
        <v>225</v>
      </c>
      <c r="E30" s="41">
        <v>229</v>
      </c>
      <c r="F30" s="42" t="s">
        <v>188</v>
      </c>
      <c r="G30" s="43"/>
      <c r="H30" s="41">
        <f t="shared" si="0"/>
        <v>5</v>
      </c>
      <c r="I30" s="44" t="s">
        <v>202</v>
      </c>
    </row>
    <row r="31" spans="2:9" ht="20.100000000000001" customHeight="1" x14ac:dyDescent="0.25">
      <c r="B31" s="44" t="s">
        <v>190</v>
      </c>
      <c r="C31" s="44" t="s">
        <v>191</v>
      </c>
      <c r="D31" s="41">
        <v>230</v>
      </c>
      <c r="E31" s="41">
        <v>230</v>
      </c>
      <c r="F31" s="42" t="s">
        <v>40</v>
      </c>
      <c r="G31" s="43" t="s">
        <v>192</v>
      </c>
      <c r="H31" s="41">
        <f t="shared" si="0"/>
        <v>1</v>
      </c>
      <c r="I31" s="44">
        <v>0</v>
      </c>
    </row>
    <row r="32" spans="2:9" ht="20.100000000000001" customHeight="1" x14ac:dyDescent="0.25">
      <c r="B32" s="44" t="s">
        <v>111</v>
      </c>
      <c r="C32" s="44" t="s">
        <v>193</v>
      </c>
      <c r="D32" s="41">
        <v>231</v>
      </c>
      <c r="E32" s="41">
        <v>240</v>
      </c>
      <c r="F32" s="42" t="s">
        <v>58</v>
      </c>
      <c r="G32" s="43" t="s">
        <v>113</v>
      </c>
      <c r="H32" s="41">
        <f t="shared" si="0"/>
        <v>10</v>
      </c>
      <c r="I32" s="44" t="s">
        <v>64</v>
      </c>
    </row>
    <row r="34" spans="1:10" s="1" customFormat="1" ht="30" customHeight="1" x14ac:dyDescent="0.25">
      <c r="A34" s="2">
        <f>LEN($B34)</f>
        <v>240</v>
      </c>
      <c r="B34" s="94" t="str">
        <f>_xlfn.CONCAT(I4:I32)</f>
        <v xml:space="preserve">3410001300001A000000XXXXXXXXXXXXXXXXXXXXXXXXXXXXXXXXXXXXXXXXXXXXXXXXXXXXX                    31122024REA000000000000000XXXXXXXXXXXXXXX                    31122024XXXXXXXXXXXXXXX                    000000XXXXXXXXXXXXXX  00000     0          </v>
      </c>
      <c r="C34" s="94"/>
      <c r="D34" s="94"/>
      <c r="E34" s="94"/>
      <c r="F34" s="94"/>
      <c r="G34" s="94"/>
      <c r="H34" s="94"/>
      <c r="I34" s="94"/>
      <c r="J34" s="94"/>
    </row>
    <row r="35" spans="1:10" s="1" customFormat="1" ht="30" customHeight="1" x14ac:dyDescent="0.25">
      <c r="A35" s="2">
        <f>LEN($B35)</f>
        <v>240</v>
      </c>
      <c r="B35" s="97" t="s">
        <v>197</v>
      </c>
      <c r="C35" s="97"/>
      <c r="D35" s="97"/>
      <c r="E35" s="97"/>
      <c r="F35" s="97"/>
      <c r="G35" s="97"/>
      <c r="H35" s="97"/>
      <c r="I35" s="97"/>
      <c r="J35" s="97"/>
    </row>
  </sheetData>
  <sheetProtection algorithmName="SHA-512" hashValue="1EkxyWHFthpDg9ht0/HBWX9+18ZNwWaLBgIJKBks+lbfyc+mwDRjBa4CyCa8+jHa3PY8wud14B3m02Kxgv4HQQ==" saltValue="Rd6s6coJYkQ8zNWy4i0ljg==" spinCount="100000" sheet="1" objects="1" scenarios="1" selectLockedCells="1" selectUnlockedCells="1"/>
  <mergeCells count="5">
    <mergeCell ref="B2:G2"/>
    <mergeCell ref="I2:I3"/>
    <mergeCell ref="D3:E3"/>
    <mergeCell ref="B34:J34"/>
    <mergeCell ref="B35:J35"/>
  </mergeCells>
  <conditionalFormatting sqref="A34:A35">
    <cfRule type="cellIs" dxfId="3" priority="1" operator="between">
      <formula>1</formula>
      <formula>239</formula>
    </cfRule>
  </conditionalFormatting>
  <dataValidations count="1">
    <dataValidation type="textLength" operator="equal" allowBlank="1" showInputMessage="1" showErrorMessage="1" errorTitle="IMPORTANTE!" error="_x000a_Informe a quantidade correta de caracteres." sqref="I4:I32" xr:uid="{76487F92-936C-43B1-A5E8-5D74C2B02CE7}">
      <formula1>$H4</formula1>
    </dataValidation>
  </dataValidations>
  <pageMargins left="0.511811024" right="0.511811024" top="0.78740157499999996" bottom="0.78740157499999996" header="0.31496062000000002" footer="0.31496062000000002"/>
  <legacy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730389-84E2-461F-AE9A-AE6BF6E135FA}">
  <sheetPr codeName="Planilha7">
    <tabColor theme="9" tint="0.59999389629810485"/>
  </sheetPr>
  <dimension ref="A2:J16"/>
  <sheetViews>
    <sheetView showGridLines="0" showRowColHeaders="0" zoomScale="90" zoomScaleNormal="90" workbookViewId="0">
      <selection activeCell="I8" sqref="I8"/>
    </sheetView>
  </sheetViews>
  <sheetFormatPr defaultColWidth="0" defaultRowHeight="15" x14ac:dyDescent="0.25"/>
  <cols>
    <col min="1" max="1" width="4.7109375" customWidth="1"/>
    <col min="2" max="2" width="30.7109375" style="7" customWidth="1"/>
    <col min="3" max="3" width="40.7109375" style="7" customWidth="1"/>
    <col min="4" max="5" width="8.7109375" style="5" customWidth="1"/>
    <col min="6" max="6" width="16.7109375" style="5" customWidth="1"/>
    <col min="7" max="7" width="30.7109375" style="4" customWidth="1"/>
    <col min="8" max="8" width="4.7109375" customWidth="1"/>
    <col min="9" max="9" width="65.28515625" style="4" customWidth="1"/>
    <col min="10" max="10" width="4.7109375" customWidth="1"/>
    <col min="11" max="16384" width="9.140625" hidden="1"/>
  </cols>
  <sheetData>
    <row r="2" spans="1:10" s="1" customFormat="1" ht="21.95" customHeight="1" x14ac:dyDescent="0.25">
      <c r="B2" s="96" t="s">
        <v>205</v>
      </c>
      <c r="C2" s="96"/>
      <c r="D2" s="96"/>
      <c r="E2" s="96"/>
      <c r="F2" s="96"/>
      <c r="G2" s="96"/>
      <c r="I2" s="93" t="s">
        <v>59</v>
      </c>
    </row>
    <row r="3" spans="1:10" s="1" customFormat="1" ht="21.95" customHeight="1" x14ac:dyDescent="0.25">
      <c r="B3" s="9" t="s">
        <v>30</v>
      </c>
      <c r="C3" s="9" t="s">
        <v>31</v>
      </c>
      <c r="D3" s="92" t="s">
        <v>32</v>
      </c>
      <c r="E3" s="92"/>
      <c r="F3" s="6" t="s">
        <v>33</v>
      </c>
      <c r="G3" s="9" t="s">
        <v>50</v>
      </c>
      <c r="I3" s="93"/>
    </row>
    <row r="4" spans="1:10" ht="20.100000000000001" customHeight="1" x14ac:dyDescent="0.25">
      <c r="B4" s="46" t="s">
        <v>1</v>
      </c>
      <c r="C4" s="46" t="s">
        <v>206</v>
      </c>
      <c r="D4" s="41">
        <v>1</v>
      </c>
      <c r="E4" s="41">
        <v>3</v>
      </c>
      <c r="F4" s="42" t="s">
        <v>3</v>
      </c>
      <c r="G4" s="43">
        <v>341</v>
      </c>
      <c r="H4" s="41">
        <f>(E4-D4)+1</f>
        <v>3</v>
      </c>
      <c r="I4" s="46">
        <f>HEADER_ARQUIVO!I4</f>
        <v>341</v>
      </c>
    </row>
    <row r="5" spans="1:10" ht="20.100000000000001" customHeight="1" x14ac:dyDescent="0.25">
      <c r="B5" s="46" t="s">
        <v>34</v>
      </c>
      <c r="C5" s="46" t="s">
        <v>35</v>
      </c>
      <c r="D5" s="41">
        <v>4</v>
      </c>
      <c r="E5" s="41">
        <v>7</v>
      </c>
      <c r="F5" s="42" t="s">
        <v>36</v>
      </c>
      <c r="G5" s="43" t="s">
        <v>71</v>
      </c>
      <c r="H5" s="41">
        <f t="shared" ref="H5:H12" si="0">(E5-D5)+1</f>
        <v>4</v>
      </c>
      <c r="I5" s="47" t="str">
        <f>HEADER_LOTE!I5</f>
        <v>0001</v>
      </c>
    </row>
    <row r="6" spans="1:10" ht="20.100000000000001" customHeight="1" x14ac:dyDescent="0.25">
      <c r="B6" s="46" t="s">
        <v>4</v>
      </c>
      <c r="C6" s="46" t="s">
        <v>205</v>
      </c>
      <c r="D6" s="41">
        <v>8</v>
      </c>
      <c r="E6" s="41">
        <v>8</v>
      </c>
      <c r="F6" s="42" t="s">
        <v>6</v>
      </c>
      <c r="G6" s="43">
        <v>5</v>
      </c>
      <c r="H6" s="41">
        <f t="shared" si="0"/>
        <v>1</v>
      </c>
      <c r="I6" s="46">
        <v>5</v>
      </c>
    </row>
    <row r="7" spans="1:10" ht="20.100000000000001" customHeight="1" x14ac:dyDescent="0.25">
      <c r="B7" s="46" t="s">
        <v>37</v>
      </c>
      <c r="C7" s="46" t="s">
        <v>38</v>
      </c>
      <c r="D7" s="41">
        <v>9</v>
      </c>
      <c r="E7" s="41">
        <v>17</v>
      </c>
      <c r="F7" s="42" t="s">
        <v>216</v>
      </c>
      <c r="G7" s="43"/>
      <c r="H7" s="41">
        <f t="shared" si="0"/>
        <v>9</v>
      </c>
      <c r="I7" s="46" t="s">
        <v>218</v>
      </c>
    </row>
    <row r="8" spans="1:10" ht="20.100000000000001" customHeight="1" x14ac:dyDescent="0.25">
      <c r="B8" s="46" t="s">
        <v>214</v>
      </c>
      <c r="C8" s="46" t="s">
        <v>215</v>
      </c>
      <c r="D8" s="41">
        <v>18</v>
      </c>
      <c r="E8" s="41">
        <v>23</v>
      </c>
      <c r="F8" s="42" t="s">
        <v>25</v>
      </c>
      <c r="G8" s="43" t="s">
        <v>207</v>
      </c>
      <c r="H8" s="41">
        <f t="shared" si="0"/>
        <v>6</v>
      </c>
      <c r="I8" s="78" t="str">
        <f>TEXT((TED!D3+2),"000000")</f>
        <v>000003</v>
      </c>
    </row>
    <row r="9" spans="1:10" ht="20.100000000000001" customHeight="1" x14ac:dyDescent="0.25">
      <c r="B9" s="46" t="s">
        <v>208</v>
      </c>
      <c r="C9" s="46" t="s">
        <v>209</v>
      </c>
      <c r="D9" s="41">
        <v>24</v>
      </c>
      <c r="E9" s="41">
        <v>41</v>
      </c>
      <c r="F9" s="42" t="s">
        <v>217</v>
      </c>
      <c r="G9" s="43" t="s">
        <v>207</v>
      </c>
      <c r="H9" s="41">
        <f t="shared" si="0"/>
        <v>18</v>
      </c>
      <c r="I9" s="78" t="str">
        <f>TEXT((SUBSTITUTE(SUBSTITUTE((TED!E3*100),",",""),".","")),"000000000000000000")</f>
        <v>000000000000005000</v>
      </c>
    </row>
    <row r="10" spans="1:10" ht="20.100000000000001" customHeight="1" x14ac:dyDescent="0.25">
      <c r="B10" s="46" t="s">
        <v>46</v>
      </c>
      <c r="C10" s="46" t="s">
        <v>38</v>
      </c>
      <c r="D10" s="41">
        <v>42</v>
      </c>
      <c r="E10" s="41">
        <v>59</v>
      </c>
      <c r="F10" s="42" t="s">
        <v>210</v>
      </c>
      <c r="G10" s="43"/>
      <c r="H10" s="41">
        <f t="shared" si="0"/>
        <v>18</v>
      </c>
      <c r="I10" s="47" t="s">
        <v>220</v>
      </c>
    </row>
    <row r="11" spans="1:10" ht="20.100000000000001" customHeight="1" x14ac:dyDescent="0.25">
      <c r="B11" s="46" t="s">
        <v>37</v>
      </c>
      <c r="C11" s="46" t="s">
        <v>38</v>
      </c>
      <c r="D11" s="41">
        <v>60</v>
      </c>
      <c r="E11" s="41">
        <v>230</v>
      </c>
      <c r="F11" s="42" t="s">
        <v>211</v>
      </c>
      <c r="G11" s="43"/>
      <c r="H11" s="41">
        <f t="shared" si="0"/>
        <v>171</v>
      </c>
      <c r="I11" s="46" t="s">
        <v>219</v>
      </c>
    </row>
    <row r="12" spans="1:10" ht="20.100000000000001" customHeight="1" x14ac:dyDescent="0.25">
      <c r="B12" s="46" t="s">
        <v>212</v>
      </c>
      <c r="C12" s="46" t="s">
        <v>213</v>
      </c>
      <c r="D12" s="41">
        <v>231</v>
      </c>
      <c r="E12" s="41">
        <v>240</v>
      </c>
      <c r="F12" s="42" t="s">
        <v>58</v>
      </c>
      <c r="G12" s="43" t="s">
        <v>113</v>
      </c>
      <c r="H12" s="41">
        <f t="shared" si="0"/>
        <v>10</v>
      </c>
      <c r="I12" s="46" t="s">
        <v>64</v>
      </c>
    </row>
    <row r="14" spans="1:10" s="1" customFormat="1" ht="30" customHeight="1" x14ac:dyDescent="0.25">
      <c r="A14" s="2">
        <f>LEN($B14)</f>
        <v>240</v>
      </c>
      <c r="B14" s="94" t="str">
        <f>_xlfn.CONCAT(I4:I12)</f>
        <v xml:space="preserve">34100015         000003000000000000005000000000000000000000                                                                                                                                                                                     </v>
      </c>
      <c r="C14" s="94"/>
      <c r="D14" s="94"/>
      <c r="E14" s="94"/>
      <c r="F14" s="94"/>
      <c r="G14" s="94"/>
      <c r="H14" s="94"/>
      <c r="I14" s="94"/>
      <c r="J14" s="94"/>
    </row>
    <row r="15" spans="1:10" s="1" customFormat="1" ht="30" customHeight="1" x14ac:dyDescent="0.25">
      <c r="A15" s="2">
        <f>LEN($B15)</f>
        <v>240</v>
      </c>
      <c r="B15" s="97" t="s">
        <v>254</v>
      </c>
      <c r="C15" s="97"/>
      <c r="D15" s="97"/>
      <c r="E15" s="97"/>
      <c r="F15" s="97"/>
      <c r="G15" s="97"/>
      <c r="H15" s="97"/>
      <c r="I15" s="97"/>
      <c r="J15" s="97"/>
    </row>
    <row r="16" spans="1:10" x14ac:dyDescent="0.25">
      <c r="B16" s="97"/>
      <c r="C16" s="97"/>
      <c r="D16" s="97"/>
      <c r="E16" s="97"/>
      <c r="F16" s="97"/>
      <c r="G16" s="97"/>
      <c r="H16" s="97"/>
      <c r="I16" s="97"/>
      <c r="J16" s="97"/>
    </row>
  </sheetData>
  <sheetProtection selectLockedCells="1" selectUnlockedCells="1"/>
  <mergeCells count="6">
    <mergeCell ref="B16:J16"/>
    <mergeCell ref="B2:G2"/>
    <mergeCell ref="I2:I3"/>
    <mergeCell ref="D3:E3"/>
    <mergeCell ref="B14:J14"/>
    <mergeCell ref="B15:J15"/>
  </mergeCells>
  <conditionalFormatting sqref="A14:A15">
    <cfRule type="cellIs" dxfId="2" priority="1" operator="between">
      <formula>1</formula>
      <formula>239</formula>
    </cfRule>
  </conditionalFormatting>
  <dataValidations count="1">
    <dataValidation type="textLength" operator="equal" allowBlank="1" showInputMessage="1" showErrorMessage="1" errorTitle="IMPORTANTE!" error="_x000a_Informe a quantidade correta de caracteres." sqref="I4:I12" xr:uid="{A2E870D9-88ED-4408-86B3-ED6C6F2FA6E7}">
      <formula1>$H4</formula1>
    </dataValidation>
  </dataValidations>
  <pageMargins left="0.511811024" right="0.511811024" top="0.78740157499999996" bottom="0.78740157499999996" header="0.31496062000000002" footer="0.31496062000000002"/>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AD926C-2999-4AE6-976B-0A464F8AF061}">
  <sheetPr codeName="Planilha8">
    <tabColor theme="9" tint="0.59999389629810485"/>
  </sheetPr>
  <dimension ref="A2:J14"/>
  <sheetViews>
    <sheetView showGridLines="0" showRowColHeaders="0" zoomScale="90" zoomScaleNormal="90" workbookViewId="0">
      <selection activeCell="I9" sqref="I9"/>
    </sheetView>
  </sheetViews>
  <sheetFormatPr defaultColWidth="0" defaultRowHeight="15" x14ac:dyDescent="0.25"/>
  <cols>
    <col min="1" max="1" width="4.7109375" style="1" customWidth="1"/>
    <col min="2" max="2" width="30.7109375" style="3" customWidth="1"/>
    <col min="3" max="3" width="40.7109375" style="3" customWidth="1"/>
    <col min="4" max="5" width="8.7109375" style="38" customWidth="1"/>
    <col min="6" max="6" width="16.7109375" style="38" customWidth="1"/>
    <col min="7" max="7" width="30.7109375" style="3" customWidth="1"/>
    <col min="8" max="8" width="4.7109375" style="1" customWidth="1"/>
    <col min="9" max="9" width="65.28515625" style="3" customWidth="1"/>
    <col min="10" max="10" width="4.7109375" style="1" customWidth="1"/>
    <col min="11" max="16384" width="9.140625" style="1" hidden="1"/>
  </cols>
  <sheetData>
    <row r="2" spans="1:10" ht="21.95" customHeight="1" x14ac:dyDescent="0.25">
      <c r="B2" s="96" t="s">
        <v>221</v>
      </c>
      <c r="C2" s="96"/>
      <c r="D2" s="96"/>
      <c r="E2" s="96"/>
      <c r="F2" s="96"/>
      <c r="G2" s="96"/>
      <c r="I2" s="93" t="s">
        <v>59</v>
      </c>
    </row>
    <row r="3" spans="1:10" ht="21.95" customHeight="1" x14ac:dyDescent="0.25">
      <c r="B3" s="9" t="s">
        <v>30</v>
      </c>
      <c r="C3" s="9" t="s">
        <v>31</v>
      </c>
      <c r="D3" s="92" t="s">
        <v>32</v>
      </c>
      <c r="E3" s="92"/>
      <c r="F3" s="6" t="s">
        <v>33</v>
      </c>
      <c r="G3" s="9" t="s">
        <v>50</v>
      </c>
      <c r="I3" s="93"/>
    </row>
    <row r="4" spans="1:10" ht="20.100000000000001" customHeight="1" x14ac:dyDescent="0.25">
      <c r="B4" s="25" t="s">
        <v>1</v>
      </c>
      <c r="C4" s="25" t="s">
        <v>206</v>
      </c>
      <c r="D4" s="39">
        <v>1</v>
      </c>
      <c r="E4" s="39">
        <v>3</v>
      </c>
      <c r="F4" s="27" t="s">
        <v>3</v>
      </c>
      <c r="G4" s="40">
        <v>341</v>
      </c>
      <c r="H4" s="39">
        <f>(E4-D4)+1</f>
        <v>3</v>
      </c>
      <c r="I4" s="25">
        <f>HEADER_ARQUIVO!I4</f>
        <v>341</v>
      </c>
    </row>
    <row r="5" spans="1:10" ht="20.100000000000001" customHeight="1" x14ac:dyDescent="0.25">
      <c r="B5" s="25" t="s">
        <v>34</v>
      </c>
      <c r="C5" s="25" t="s">
        <v>35</v>
      </c>
      <c r="D5" s="39">
        <v>4</v>
      </c>
      <c r="E5" s="39">
        <v>7</v>
      </c>
      <c r="F5" s="27" t="s">
        <v>36</v>
      </c>
      <c r="G5" s="40">
        <v>9999</v>
      </c>
      <c r="H5" s="39">
        <f t="shared" ref="H5:H10" si="0">(E5-D5)+1</f>
        <v>4</v>
      </c>
      <c r="I5" s="25">
        <v>9999</v>
      </c>
    </row>
    <row r="6" spans="1:10" ht="20.100000000000001" customHeight="1" x14ac:dyDescent="0.25">
      <c r="B6" s="25" t="s">
        <v>4</v>
      </c>
      <c r="C6" s="25" t="s">
        <v>225</v>
      </c>
      <c r="D6" s="39">
        <v>8</v>
      </c>
      <c r="E6" s="39">
        <v>8</v>
      </c>
      <c r="F6" s="27" t="s">
        <v>6</v>
      </c>
      <c r="G6" s="40">
        <v>9</v>
      </c>
      <c r="H6" s="39">
        <f t="shared" si="0"/>
        <v>1</v>
      </c>
      <c r="I6" s="25">
        <v>9</v>
      </c>
    </row>
    <row r="7" spans="1:10" ht="20.100000000000001" customHeight="1" x14ac:dyDescent="0.25">
      <c r="B7" s="25" t="s">
        <v>37</v>
      </c>
      <c r="C7" s="25" t="s">
        <v>38</v>
      </c>
      <c r="D7" s="39">
        <v>9</v>
      </c>
      <c r="E7" s="39">
        <v>17</v>
      </c>
      <c r="F7" s="27" t="s">
        <v>216</v>
      </c>
      <c r="G7" s="40"/>
      <c r="H7" s="39">
        <f t="shared" si="0"/>
        <v>9</v>
      </c>
      <c r="I7" s="25" t="s">
        <v>218</v>
      </c>
    </row>
    <row r="8" spans="1:10" ht="20.100000000000001" customHeight="1" x14ac:dyDescent="0.25">
      <c r="B8" s="25" t="s">
        <v>224</v>
      </c>
      <c r="C8" s="25" t="s">
        <v>227</v>
      </c>
      <c r="D8" s="39">
        <v>18</v>
      </c>
      <c r="E8" s="39">
        <v>23</v>
      </c>
      <c r="F8" s="27" t="s">
        <v>25</v>
      </c>
      <c r="G8" s="40" t="s">
        <v>207</v>
      </c>
      <c r="H8" s="39">
        <f t="shared" si="0"/>
        <v>6</v>
      </c>
      <c r="I8" s="25" t="s">
        <v>228</v>
      </c>
    </row>
    <row r="9" spans="1:10" ht="20.100000000000001" customHeight="1" x14ac:dyDescent="0.25">
      <c r="B9" s="25" t="s">
        <v>223</v>
      </c>
      <c r="C9" s="25" t="s">
        <v>226</v>
      </c>
      <c r="D9" s="39">
        <v>24</v>
      </c>
      <c r="E9" s="39">
        <v>29</v>
      </c>
      <c r="F9" s="27" t="s">
        <v>25</v>
      </c>
      <c r="G9" s="40" t="s">
        <v>207</v>
      </c>
      <c r="H9" s="39">
        <f t="shared" si="0"/>
        <v>6</v>
      </c>
      <c r="I9" s="37" t="str">
        <f>TEXT(REGISTRO_TRAILER_LOTE!I8+2,"000000")</f>
        <v>000005</v>
      </c>
    </row>
    <row r="10" spans="1:10" ht="20.100000000000001" customHeight="1" x14ac:dyDescent="0.25">
      <c r="B10" s="25" t="s">
        <v>37</v>
      </c>
      <c r="C10" s="25" t="s">
        <v>38</v>
      </c>
      <c r="D10" s="39">
        <v>30</v>
      </c>
      <c r="E10" s="39">
        <v>240</v>
      </c>
      <c r="F10" s="27" t="s">
        <v>222</v>
      </c>
      <c r="G10" s="40"/>
      <c r="H10" s="39">
        <f t="shared" si="0"/>
        <v>211</v>
      </c>
      <c r="I10" s="25" t="s">
        <v>229</v>
      </c>
    </row>
    <row r="12" spans="1:10" ht="30" customHeight="1" x14ac:dyDescent="0.25">
      <c r="A12" s="2">
        <f>LEN($B12)</f>
        <v>240</v>
      </c>
      <c r="B12" s="99" t="str">
        <f>_xlfn.CONCAT(I4:I10)</f>
        <v xml:space="preserve">34199999         000001000005                                                                                                                                                                                                                   </v>
      </c>
      <c r="C12" s="99"/>
      <c r="D12" s="99"/>
      <c r="E12" s="99"/>
      <c r="F12" s="99"/>
      <c r="G12" s="99"/>
      <c r="H12" s="99"/>
      <c r="I12" s="99"/>
      <c r="J12" s="99"/>
    </row>
    <row r="13" spans="1:10" ht="30" customHeight="1" x14ac:dyDescent="0.25">
      <c r="A13" s="2">
        <f>LEN($B13)</f>
        <v>240</v>
      </c>
      <c r="B13" s="98" t="s">
        <v>253</v>
      </c>
      <c r="C13" s="98"/>
      <c r="D13" s="98"/>
      <c r="E13" s="98"/>
      <c r="F13" s="98"/>
      <c r="G13" s="98"/>
      <c r="H13" s="98"/>
      <c r="I13" s="98"/>
      <c r="J13" s="98"/>
    </row>
    <row r="14" spans="1:10" x14ac:dyDescent="0.25">
      <c r="B14" s="98"/>
      <c r="C14" s="98"/>
      <c r="D14" s="98"/>
      <c r="E14" s="98"/>
      <c r="F14" s="98"/>
      <c r="G14" s="98"/>
      <c r="H14" s="98"/>
      <c r="I14" s="98"/>
      <c r="J14" s="98"/>
    </row>
  </sheetData>
  <sheetProtection algorithmName="SHA-512" hashValue="UDXIBLd/ObPv81e60OgpEHjfexLcYs9T7IFnseABLy2Cp1qW3GE9LcFYjfa3NRWq5hZ0IoqpUNqNB1Im3xWLpw==" saltValue="c15rEs9b+w5FMuYcShXExg==" spinCount="100000" sheet="1" objects="1" scenarios="1" selectLockedCells="1" selectUnlockedCells="1"/>
  <mergeCells count="6">
    <mergeCell ref="B14:J14"/>
    <mergeCell ref="B2:G2"/>
    <mergeCell ref="I2:I3"/>
    <mergeCell ref="D3:E3"/>
    <mergeCell ref="B12:J12"/>
    <mergeCell ref="B13:J13"/>
  </mergeCells>
  <conditionalFormatting sqref="A12:A13">
    <cfRule type="cellIs" dxfId="1" priority="1" operator="between">
      <formula>1</formula>
      <formula>239</formula>
    </cfRule>
  </conditionalFormatting>
  <dataValidations count="1">
    <dataValidation type="textLength" operator="equal" allowBlank="1" showInputMessage="1" showErrorMessage="1" errorTitle="IMPORTANTE!" error="_x000a_Informe a quantidade correta de caracteres." sqref="I4:I10" xr:uid="{B21EA024-1C16-4E70-8CAC-D19C1FB86FED}">
      <formula1>$H4</formula1>
    </dataValidation>
  </dataValidations>
  <pageMargins left="0.511811024" right="0.511811024" top="0.78740157499999996" bottom="0.78740157499999996" header="0.31496062000000002" footer="0.31496062000000002"/>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8</vt:i4>
      </vt:variant>
    </vt:vector>
  </HeadingPairs>
  <TitlesOfParts>
    <vt:vector size="8" baseType="lpstr">
      <vt:lpstr>GERAR_ARQUIVO</vt:lpstr>
      <vt:lpstr>TED</vt:lpstr>
      <vt:lpstr>C.C.ITAU</vt:lpstr>
      <vt:lpstr>HEADER_ARQUIVO</vt:lpstr>
      <vt:lpstr>HEADER_LOTE</vt:lpstr>
      <vt:lpstr>REGISTRO_DETALHE</vt:lpstr>
      <vt:lpstr>REGISTRO_TRAILER_LOTE</vt:lpstr>
      <vt:lpstr>REGISTRO_TRAILER_ARQUIVO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Thiago Ziolkowski</dc:creator>
  <cp:keywords>Z-TECH</cp:keywords>
  <cp:lastModifiedBy>Thiago Ziolkowski</cp:lastModifiedBy>
  <dcterms:created xsi:type="dcterms:W3CDTF">2024-03-19T13:56:38Z</dcterms:created>
  <dcterms:modified xsi:type="dcterms:W3CDTF">2024-04-26T19:19:31Z</dcterms:modified>
</cp:coreProperties>
</file>